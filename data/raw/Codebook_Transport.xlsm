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66925"/>
  <mc:AlternateContent xmlns:mc="http://schemas.openxmlformats.org/markup-compatibility/2006">
    <mc:Choice Requires="x15">
      <x15ac:absPath xmlns:x15ac="http://schemas.microsoft.com/office/spreadsheetml/2010/11/ac" url="https://wageningenur4-my.sharepoint.com/personal/vignesh_raghunathan_wur_nl/Documents/Internship/Literature Review/Final Data Processing/Mitigation_EntryPoints_CodeRepo/data/raw/"/>
    </mc:Choice>
  </mc:AlternateContent>
  <xr:revisionPtr revIDLastSave="9" documentId="14_{DA38A5C4-4869-4000-AAA6-B4233E5E3B01}" xr6:coauthVersionLast="47" xr6:coauthVersionMax="47" xr10:uidLastSave="{456A31CB-3C17-45FA-AD02-DF886C120DFE}"/>
  <bookViews>
    <workbookView xWindow="-12192" yWindow="-17388" windowWidth="30936" windowHeight="17496" xr2:uid="{1B0161FE-93B3-45E4-A064-3C069AA9F3F8}"/>
  </bookViews>
  <sheets>
    <sheet name="Codebook_Transport" sheetId="1" r:id="rId1"/>
    <sheet name="list_updated" sheetId="2" r:id="rId2"/>
  </sheets>
  <definedNames>
    <definedName name="_xlnm._FilterDatabase" localSheetId="0" hidden="1">Codebook_Transport!$A$1:$AR$34</definedName>
    <definedName name="_xlnm._FilterDatabase" localSheetId="1" hidden="1">list_updated!$A$1:$A$5</definedName>
    <definedName name="Extraction">list_updated!$A$2:$A$7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Valentin Koelzer</author>
  </authors>
  <commentList>
    <comment ref="AM13" authorId="0" shapeId="0" xr:uid="{819A7B95-5E8A-4DD5-BD07-1BE4001B6BB9}">
      <text>
        <r>
          <rPr>
            <b/>
            <sz val="9"/>
            <color indexed="81"/>
            <rFont val="Tahoma"/>
            <family val="2"/>
          </rPr>
          <t>Valentin Koelzer:</t>
        </r>
        <r>
          <rPr>
            <sz val="9"/>
            <color indexed="81"/>
            <rFont val="Tahoma"/>
            <family val="2"/>
          </rPr>
          <t xml:space="preserve">
The rationale for promoting NEVs is broad and covers different objectives, ranging from reducing oil dependency to achieving technological supremacy in an industry at the technological frontier, as well as mitigating environmental problems</t>
        </r>
      </text>
    </comment>
  </commentList>
</comments>
</file>

<file path=xl/sharedStrings.xml><?xml version="1.0" encoding="utf-8"?>
<sst xmlns="http://schemas.openxmlformats.org/spreadsheetml/2006/main" count="1119" uniqueCount="724">
  <si>
    <t>Column1</t>
  </si>
  <si>
    <t>Article</t>
  </si>
  <si>
    <t xml:space="preserve">Sector\Scope </t>
  </si>
  <si>
    <t>Technology</t>
  </si>
  <si>
    <t>Abstract</t>
  </si>
  <si>
    <t>Year</t>
  </si>
  <si>
    <t>Authors</t>
  </si>
  <si>
    <t>Doc ID</t>
  </si>
  <si>
    <t>doi</t>
  </si>
  <si>
    <t>Source</t>
  </si>
  <si>
    <t>relevant</t>
  </si>
  <si>
    <t>research_method</t>
  </si>
  <si>
    <t>method_details</t>
  </si>
  <si>
    <t>research_geography</t>
  </si>
  <si>
    <t>research_timespan</t>
  </si>
  <si>
    <t>technology_sector</t>
  </si>
  <si>
    <t>subsector</t>
  </si>
  <si>
    <t>technology_mitigation_option</t>
  </si>
  <si>
    <t>technology detailed</t>
  </si>
  <si>
    <t>Applicable for what other geographies</t>
  </si>
  <si>
    <t>Detail applicability</t>
  </si>
  <si>
    <t>Proof of deployment</t>
  </si>
  <si>
    <t>Measure for deployment effectiveness</t>
  </si>
  <si>
    <t>Generalization assessment</t>
  </si>
  <si>
    <t>Enabler</t>
  </si>
  <si>
    <t>Details Enabler</t>
  </si>
  <si>
    <t>Barrier</t>
  </si>
  <si>
    <t>Details Barriers</t>
  </si>
  <si>
    <t>Entry (policy intervention)</t>
  </si>
  <si>
    <t>Entry details</t>
  </si>
  <si>
    <t>Policy name</t>
  </si>
  <si>
    <t>Model target indicator</t>
  </si>
  <si>
    <t>Entry point</t>
  </si>
  <si>
    <t>Actors beneficiaries</t>
  </si>
  <si>
    <t>Actors policymakers</t>
  </si>
  <si>
    <t>Objectives policymakers</t>
  </si>
  <si>
    <t>Actors other</t>
  </si>
  <si>
    <t>Terminology</t>
  </si>
  <si>
    <t>Prob_vs_effectiveness_of_policy</t>
  </si>
  <si>
    <t>Detail</t>
  </si>
  <si>
    <t>Notes</t>
  </si>
  <si>
    <t>Industrial policy and the creation of the electric vehicles market in China: demand structure, sectoral complementarities and policy coordination</t>
  </si>
  <si>
    <t>Urban</t>
  </si>
  <si>
    <t xml:space="preserve">Transport </t>
  </si>
  <si>
    <t>Since the late 2000s, the Chinese government has been adopting active industrial policies to create a market for electric vehicles. While celebrated as a success nationally and internationally, a closer look reveals a mixed picture with market growth concentrated in only a few cities. On the basis of heterodox industrial policy literature, Chinese-language policy documents and interviews, we develop an analytical framework to empirically study electric vehicles deployment at the city-level, and to assess the achievements and obstacles of implementing industrial policies in this sector. We particularly stress the interrelatedness of policies governing the demand structure of the electric vehicles market and its main complementary sector, the charging infrastructure, which need to be aligned in the progressively more complex segments making up the electric vehicles market. Taking this industry as a case study, we contribute to the wider debate on the determinants of industrial policy effectiveness.</t>
  </si>
  <si>
    <t>Gomes, AD; &lt;br&gt;Gomes, AD; &lt;br&gt;Gomes, AD; &lt;br&gt;Pauls, R; &lt;br&gt;ten Brink, T</t>
  </si>
  <si>
    <t>http://dx.doi.org/10.1093/cje/beac056</t>
  </si>
  <si>
    <t>CAMBRIDGE JOURNAL OF ECONOMICS</t>
  </si>
  <si>
    <t>Yes (1)</t>
  </si>
  <si>
    <t>The status quo of the EU transport sector: Cross-country indicator-based comparison and policy evaluation</t>
  </si>
  <si>
    <t xml:space="preserve">Policy Design </t>
  </si>
  <si>
    <t>Greenhouse gas (GHG) emissions are declining in all major sectors in the European Union, with the exception of one sector that has seen a significant increase in GHG emissions over the past decade - transport sector. The European transport sector faces a significant challenge in achieving the decarbonization goal set by the European Green Deal. Although the European Commission is planning to introduce a set of EU-level measures, such as the inclusion of road transport in the EU Emissions Trading System, the progress of greening the transport sector has so far largely depended on national policies. To understand whether European countries are committed to rapidly adapt to low-carbon transport systems, it is crucial to evaluate what progress have national policies achieved so far in moving towards a sustainable transport system. This study used a three-level assessment of transport sector sustainability across European countries. First, this study assessed the overall sustainability level of the transport sector in all European Union Member States and the United Kingdom using the composite sustainability index method for cross-country comparison. Countries were compared using 15 transport indicators grouped into four dimensions (mobility, sustainability, innovation, and environment) based on the latest available data from 2017 obtained from Eurostat, European Commission, and Odysee-Mure databases. Second, in order to identify the dynamics of progress, Logistic Mean Division Index (LMDI) decomposition analysis was conducted to assess the changes in greenhouse gas (GHG) emissions from the transport sector over ten years, taking into account the five main factors: emission intensity effect, renewable energy (RES) transition effect, energy intensity effect, economic growth effect, and population growth effect. Third, to analyse what has impacted the sustainability of the transport sector in countries, the study highlighted several key policies (directions) for decarbonizing transport from the analysis outlining the good practice policies from the best performing countries. The combined results of the composite sustainability index and decomposition analysis revealed significant differences between Nordic, Western, and Eastern European countries, suggesting that different approaches should be taken in developing effective sustainability policies for transport.</t>
  </si>
  <si>
    <t>Dolge, K; &lt;br&gt;Barisa, A; &lt;br&gt;Kirsanovs, V; &lt;br&gt;Blumberga, D</t>
  </si>
  <si>
    <t>http://dx.doi.org/10.1016/j.apenergy.2023.120700</t>
  </si>
  <si>
    <t>APPLIED ENERGY</t>
  </si>
  <si>
    <t>Navigating the razor's edge: Public acceptance of climate policies and the case of transport pricing</t>
  </si>
  <si>
    <t xml:space="preserve">Urban </t>
  </si>
  <si>
    <t>Transport pricing (TP) can be a helpful policy instrument for climate action to reduce greenhouse gas emissions and foster sustainable mobility. Yet few cities have implemented TP. The main barriers include a lack of public and political acceptance, especially in regions with entrenched socio-technical systems and cultures of automobility. The dominance of automobility can be a reason for TP to be unacceptable to the public and politicians. Yet, policies for low-carbon mobility may ultimately fail if they are designed within automobility. This article considers this tension in transport-pricing policy design, as a subset of broader climate policies. How can public acceptance be secured for TP, both navigating within automobility to gain sufficient public uptake but also beyond automobility towards more transformative climate action? This paper examines the proposed TP policy for Vancouver, Canada. We summarize what has been found to support public and political acceptance of TP in other cities, and then particularly look at Oslo, Norway. Our findings suggest that TP policy-design that parts with an automobility regime-and rather is carried out within a low-carbon paradigm-may confront greater short-term challenges with public acceptance, but will better position such an innovative policy for success on the long-term.</t>
  </si>
  <si>
    <t>Hochachka, G; &lt;br&gt;Merida, W</t>
  </si>
  <si>
    <t>http://dx.doi.org/10.1016/j.enpol.2023.113616</t>
  </si>
  <si>
    <t>ENERGY POLICY</t>
  </si>
  <si>
    <t>Value of dual-credit policy: Evidence from green technology innovation efficiency</t>
  </si>
  <si>
    <t>The dual-credit policy (DCP), introduced by the Chinese government in 2017, aims to establish a market based mechanism for fostering the coordinated development of energy-efficient and new energy vehicles in the automobile industry through a credit trading system. This policy plays a significant role in promoting green technology innovation, thereby contributing to the low-carbon transformation of the transportation sector in line with the dual-carbon target. However, challenges related to policy design and substantial variations among automakers during the implementation process have cast uncertainty on the effectiveness of the DCP. To address this issue, this study examines the impact and mechanisms of the DCP on the green technology innovation efficiency (GTIE) of automakers by utilizing a sample of 18 Chinese A-share listed automakers from 2012 to 2020. The analysis employs a combination of the propensity score matching (PSM) and difference in-differences (DID) approaches. The empirical findings indicate that the introduction of the DCP significantly improves the GTIE of automakers. However, the intensity of this effect diminishes over time. The promotion of GTIE is primarily achieved by alleviating automakers' financial constraints and increasing their management fund inputs. Furthermore, this effect is strengthened by customer concentration and supply chain concentration. Additionally, the study identifies certain enterprise characteristics that generate heterogeneity in the effects of the DCP, including enterprise ownership, region, and executive education background. The results reveal that the DCP has a more pronounced impact on private automakers, those located in eastern regions, and those with lower levels of executive education.</t>
  </si>
  <si>
    <t>He, HA; &lt;br&gt;Li, SQ; &lt;br&gt;Wang, SY; &lt;br&gt;Zhang, CJ; &lt;br&gt;Ma, F</t>
  </si>
  <si>
    <t>http://dx.doi.org/10.1016/j.tranpol.2023.06.007</t>
  </si>
  <si>
    <t>TRANSPORT POLICY</t>
  </si>
  <si>
    <t>A Comprehensive Analysis of Electric Vehicle Charging Infrastructure, Standards, Policies, Aggregators and Challenges for the Indian Market</t>
  </si>
  <si>
    <t xml:space="preserve">Governance </t>
  </si>
  <si>
    <t>Due to their low CO (2) emissions, uncomplicated maintenance, and low operating costs, plug-in electric vehicles (PEVs) are currently acquiring popularity in the automotive industry. The charging infrastructure is crucial to the sustained expansion of the electric vehicles (EVs) market. In this paper, all aspects of the rapidly expanding Indian market for EV charging infrastructure are examined. Furthermore, for the Indian market, the available charging specifications, such as charging level, charging mode, charging point category, hardware, and software, are reviewed. Moreover, different organizations evaluate the standards and regulations of charging stations and EV integration into the grid for Indian consumers. In India, the current status of the charging infrastructure and prospective expansion plans are analyzed. The initiatives of the central and state governments for the expansion of charging infrastructure and support for EV consumers are examined. For Indian society, the strong actions that can be taken to develop charging infrastructure are analyzed. Moreover, the obstacles to EV charging network expansion and the role and current status of the key aggregators in expanding the charging infrastructure are also analyzed by considering the Indian market.</t>
  </si>
  <si>
    <t>Ahmad, F; &lt;br&gt;Bilal, M</t>
  </si>
  <si>
    <t>http://dx.doi.org/10.1080/15567036.2023.2228734</t>
  </si>
  <si>
    <t>ENERGY SOURCES PART A-RECOVERY UTILIZATION AND ENVIRONMENTAL EFFECTS</t>
  </si>
  <si>
    <t>Mixed (3)</t>
  </si>
  <si>
    <t>Why does electric vehicle deployment vary so much within a nation? Comparing Chinese provinces by policy, economics, and socio-demographics</t>
  </si>
  <si>
    <t>Despite the global growth of the electric vehicle (EV) market, disparities in EV distribution within countries remain apparent. To shed light on the issue, this study investigates the spatial dimension of China's EV sector. Using five EV-related indicators and the c-means clustering method (FCM), this study conducts a cluster analysis to examine the spatial distribution of the EV sector across 25 provinces in Mainland China. By selecting one representative province from each cluster, a comparative case study was subsequently performed to uncover the factors contributing to variations in EV development among provinces. Our findings reveal the presence of regional imbalances and identify four distinct clusters: producers (five provinces), retailers (two provinces), green transport (seven provinces), and laggards (eleven provinces). The study reveals that provincial economic and socio-demographic factors, along with policy mixes, play significant roles in shaping this heterogeneity. A robust economy drives EV demand and support the establishment of charging infrastructure and new technologies. Additionally, a thriving automotive sector can facilitate the EV development. However, protective tendencies exhibited by provincial governments towards existing production hinder the adoption of new technologies and impede EV sector growth. The proactive approach of governments and the integration of policies into the local context are vital for fostering the growth of the EV sector. Â© 2023 Elsevier Ltd</t>
  </si>
  <si>
    <t>Shao, J.; &lt;br&gt;MiÅ¡iÄ‡, M.</t>
  </si>
  <si>
    <t>http://dx.doi.org/10.1016/j.erss.2023.103196</t>
  </si>
  <si>
    <t>other_quantitative, case-study_(qualitative)</t>
  </si>
  <si>
    <t>cluster analysis, fuzzy c-means clustering method</t>
  </si>
  <si>
    <t>China, Shanghai</t>
  </si>
  <si>
    <t>2018:2019</t>
  </si>
  <si>
    <t>transport</t>
  </si>
  <si>
    <t>road_transport</t>
  </si>
  <si>
    <t>electric_vehicles_(BEV)</t>
  </si>
  <si>
    <t>BEV_battery_electric_vehicle</t>
  </si>
  <si>
    <t>green_[public]_transport</t>
  </si>
  <si>
    <t>Share of the total national EV-related patents, per province &amp; charging infrastructure (Ratio between the total number of chargers and EV ownership, per province)</t>
  </si>
  <si>
    <t>s_population_density, s_vehicles_per_capita, s_green_public_transport_objective</t>
  </si>
  <si>
    <t>s_domestic industry, i_political_support_interregional_competition</t>
  </si>
  <si>
    <t>Strong infrastructure construction subsidy policies and large and comprehensive set of supply- and demand-side support policies through an open market approach, to boost consumer markets in wealthy urban areas, with high rate of educated population and restrictions on number of vehicles allowed.</t>
  </si>
  <si>
    <t>consumers, producers, investors</t>
  </si>
  <si>
    <t>green_growth</t>
  </si>
  <si>
    <t>prob_for_policy</t>
  </si>
  <si>
    <t>Are only demand-based policy incentives enough to deploy electromobility?</t>
  </si>
  <si>
    <t>European Union (EU)'s energy and policy targets necessitate the penetration of new propulsion systems in the automotive industry. In this direction, the deployment of electric vehicles (EVs) and plug-in hybrid electric vehicles that rely on low greenhouse gas emission electricity generation has great potential to significantly alleviate the dependence on fossil fuel consumption in the transport sector. In this study, the policy incentives that different countries have implemented for stimulating the market of EVs are presented. Different policy instruments are examined, in order to support the deployment of EVs in Greece. Based on data from previous study, where total costs of ownership have been calculated, three alternative policy support incentives have been developed and analysed to promote the use of EVs until 2030 in Greece. Results indicate the direct subsidy scheme is more favourable over a carbon taxation system. It is suggested that EV will be competitive with ICE in the year 2022/2023, if no additional policies are implemented in Greece. This study fills the gap in the literature by offering a policy view of the main measures as well of actions that need to be taken in Greece, in order to promote electromobility.</t>
  </si>
  <si>
    <t>Nanaki, EA; &lt;br&gt;Kiartzis, S; &lt;br&gt;Xydis, GA</t>
  </si>
  <si>
    <t>http://dx.doi.org/10.1080/01442872.2020.1718072</t>
  </si>
  <si>
    <t>POLICY STUDIES</t>
  </si>
  <si>
    <t>Rooted in place: Regional innovation, assets, and the politics of electric vehicle leadership in California, Norway, and Quebec</t>
  </si>
  <si>
    <t>In the media, Norway, California, and Quebec are widely acknowledged as innovative leaders in transportation electrification. Yet, what does leadership mean and how did these jurisdictions achieve it? We contend that leadership reflects both intentional forethought through early, experimental and innovative policy to promote electric vehicles and the on-the-ground successful outcomes of these policies. All three jurisdictions have embarked on different leadership paths. We argue that these differences are a function of how electromobility policy entrepreneurs engaged unique pre-existing local assets and activated similar political mechanisms of normalization, coalition building and capacity building. When policy actors harness mutually reinforcing political and industrial dynamics, electric vehicle policies can scale up. Eventually, these dynamics may lead to new industrial path development and the decarbonization of the transportation sector.</t>
  </si>
  <si>
    <t>Lemphers, N; &lt;br&gt;Lemphers, N; &lt;br&gt;Bernstein, S; &lt;br&gt;Hoffmann, M; &lt;br&gt;Wolfe, DA</t>
  </si>
  <si>
    <t>http://dx.doi.org/10.1016/j.erss.2021.102462</t>
  </si>
  <si>
    <t>ENERGY RESEARCH &amp; SOCIAL SCIENCE</t>
  </si>
  <si>
    <t>A Comprehensive Study on the Expansion of Electric Vehicles in Europe</t>
  </si>
  <si>
    <t>There has been a rapid increase in government efforts to expand electric vehicle markets by deploying fast-charging stations, promoting uptake through greater investment, and by enacting supportive policies. Government support and private investment have contributed to the expansion of electric vehicles in many countries. The aim of this study is to highlight and analyze the most critical aspects of the expansion of the electric vehicle market, regarding technologies, characteristics, advantages and disadvantages, opportunities, and barriers in Europe. Our study analyzes the progress of electric vehicles by reviewing recent literature based on technology, policy, and government measurements. This study provides comprehensive information on electric vehicles and perspectives that are critical to policymakers, car manufacturers, consumers, and the community. To achieve favorable results, governments should invest in developing electric vehicles and battery technologies, provide subsidies, and develop charging infrastructure. Furthermore, by analyzing current EV sales in ten countries around the world, we assess the operating costs of electric vehicles. Overall EV cost of ownership is influenced by grid electricity price, cost of financing, location, carbon tax, wind speed, and solar insolation.</t>
  </si>
  <si>
    <t>Razmjoo, A; &lt;br&gt;Ghazanfari, A; &lt;br&gt;Jahangiri, M; &lt;br&gt;Franklin, E; &lt;br&gt;Denai, M; &lt;br&gt;Marzband, M; &lt;br&gt;Garcia, DA; &lt;br&gt;Maheri, A</t>
  </si>
  <si>
    <t>http://dx.doi.org/10.3390/app122211656</t>
  </si>
  <si>
    <t>APPLIED SCIENCES-BASEL</t>
  </si>
  <si>
    <t>Integrative climate leadership in multi-level policy packages for urban mobility-A study of governance systems in two Nordic urban regions</t>
  </si>
  <si>
    <t>This paper involves a comparative study of policymaking related to urban transport in the Gothenburg and Oslo regions. It sets out to show how strong climate leadership relates to the integration of policy measures and governance systems. Methodologically, we apply document analysis and qualitative interviews with key in-formants. Our clearest finding is the importance of the city's contextual governance framework for integrative climate leadership. The strong components of the leadership in Oslo-involving both horizontal and upward coordination-rely on a well-developed governance framework with operationalised goals, strategies and steering tools. This enables them to utilise multiple types of climate leadership. This contrasts with the lower degree of integration and defensiveness in Gothenburg, in terms of willingness to use effective but politically sensitive policy measures.</t>
  </si>
  <si>
    <t>Tonnesen, A; &lt;br&gt;Hanssen, GS; &lt;br&gt;Hansen, KB; &lt;br&gt;Valencia, SC</t>
  </si>
  <si>
    <t>http://dx.doi.org/10.1016/j.tranpol.2022.05.007</t>
  </si>
  <si>
    <t>Policy measures for electric vehicle adoption. A review of evidence from Norway and China</t>
  </si>
  <si>
    <t>Purpose To mitigate energy and environmental challenges, several countries worldwide are considering different policies to promote the use of electric vehicles (EVs). Consequently, the necessity of studies focusing on the important and effective EV policy measures are developing as policymakers are seeking to prioritize the policy measures based on their usefulness to achieve mass EV adoption. This study reviews evidence from China and Norway to identify factors that could substantially accelerate demand for EVs. Method We emphasize the cases of Norway and China, as these countries have already initiated incentive-strong policies to accelerate EV's acceptance in their market and have succeeded considerably in improving their EV market share during the early adoption phases. The findings and discussion of this study is principally based on the reviewed literature of related policy measures and two cases of successful EV uptake policies, Findings The evidence points at the significance of EV policy measures such as purchasebased and use-based incentives, availability of publicly accessible charging infrastructures, availability of EVs in the local market and collective communication measures. As findings, we have developed a general framework of essential EV policy measures. The reviewed literature and cases suggest that publicly accessible charging infrastructures and financial incentives play crucial role in uptake. Conclusion Our study suggests that to accelerate EV penetration in the market, it is required the policymakers to pay more attention to the policy measures included in our general framework. However, the magnitude of the influences and interplay between these policy measures may differ between regions and on the context. Hence, policymakers should reconsider and restructure the EV polices after a certain level of EV-uptake is realized in the market. Â© 2020 Franco Angeli Edizioni. All rights reserved.</t>
  </si>
  <si>
    <t>Hasan, S.; &lt;br&gt;Mathisen, T.A.</t>
  </si>
  <si>
    <t>http://dx.doi.org/10.3280/EFE2020-001003</t>
  </si>
  <si>
    <t>Econo.</t>
  </si>
  <si>
    <t>Renewable energy barriers and coping strategies: Evidence from the Baltic States</t>
  </si>
  <si>
    <t>Renewable energy sources (RES) are the main drivers of sustainable energy development. Notwithstanding the substantial expansion of renewables in the past decade, boosted by the various policies and measures, renewable energy sources are still far from full incorporation into the energy markets. It is necessary to overcome the remaining impediments for renewables to realize the energy transition to 100% renewable energy. The aim of this research is to analyze the main barriers of renewables and success of policies dealing with these barriers. The case studies in the Baltic States provide concrete examples of policies and their impacts in terms of overcoming barriers in relevant sectors: heating and cooling, power and transport. The assessment of policies in the Baltic States shows that there are a few measures that are implemented in the transport sector, although this sector encounters many social, economic, technological, and regulatory barriers. The countries have achieved the lowest results in approaching RES targets in transport. New financial incentives and investments in the development of infrastructure for electric vehicles are crucial for the development of markets of electric vehicles.</t>
  </si>
  <si>
    <t>Lu, JT; &lt;br&gt;Lu, JT; &lt;br&gt;Ren, LC; &lt;br&gt;Ren, LC; &lt;br&gt;Yao, SQ; &lt;br&gt;Rong, D; &lt;br&gt;Skare, M; &lt;br&gt;Streimikis, J</t>
  </si>
  <si>
    <t>http://dx.doi.org/10.1002/sd.2030</t>
  </si>
  <si>
    <t>SUSTAINABLE DEVELOPMENT</t>
  </si>
  <si>
    <t>What Affects the Diffusion of New Energy Vehicles Financial Subsidy Policy? Evidence from Chinese Cities</t>
  </si>
  <si>
    <t>Designing and implementing effective new energy vehicle (NEV) policy are policy priorities for policymakers and energy policy scholars. However, the formulation, adoption, and diffusion of the NEV policies have not been fully examined in the extant literature. This article explores the mechanisms driving the diffusion of local financial subsidy policy for NEVs in China. In this context, we aim at analyzing the factors affecting the diffusion of local financial subsidies for NEVs in cities, to explain why some cities have taken the lead in adopting local financial subsidy policies for NEVs, while other cities have lagged behind. Based on a data set of 286 cities in China from 2009 to 2016, and with event history analysis (EHA) to analyze the strategic behaviors of local governments, we found that the number of the city's neighbors that have adopted the NEV policy, the financial incentive policy of the provincial government, the administrative ranking of the city, the city's financial situation and innovation capacity have a direct impact on whether the city adopts a local financial subsidy policy for NEVs. This study has practical implications for policymakers in designing and promoting the spread of NEV policies.</t>
  </si>
  <si>
    <t>Liu, WX; &lt;br&gt;Yi, HT; &lt;br&gt;Yi, HT</t>
  </si>
  <si>
    <t>http://dx.doi.org/10.3390/ijerph17030726</t>
  </si>
  <si>
    <t>INTERNATIONAL JOURNAL OF ENVIRONMENTAL RESEARCH AND PUBLIC HEALTH</t>
  </si>
  <si>
    <t>The effects of demonstration projects on electric vehicle diffusion: An empirical study in China</t>
  </si>
  <si>
    <t>Despite the extensive use of demonstration projects, doubts remain on their effectiveness in promoting the commercialization of emerging technologies. To explore whether public demonstrations could stimulate innovation diffusion and to what extent the effects are, this paper conducted an empirical analysis of China's high-profile electric vehicle demonstration project based on a manually collected data set of 44 pilot cities from 2009 to 2015. The approach of difference-in-differences propensity score matching was used to address the selection bias of pilot cities, and the effects of demonstrating electric buses and electric commercial vehicles were further examined and discussed after a series of robustness check. The empirical results reveal that when controlling the impact of all policy incentives, the deployment of electric vehicles in the public sector has significantly stimulated the purchase of electric vehicles by individuals, especially in the pilot cities with more commercial vehicles, which provides new insights into the formulation of public procurement policies.</t>
  </si>
  <si>
    <t>Liu, XL; &lt;br&gt;Sun, XH; &lt;br&gt;Li, MS; &lt;br&gt;Zhai, Y</t>
  </si>
  <si>
    <t>http://dx.doi.org/10.1016/j.enpol.2020.111322</t>
  </si>
  <si>
    <t>regression_analysis</t>
  </si>
  <si>
    <t>China</t>
  </si>
  <si>
    <t>2009:2015</t>
  </si>
  <si>
    <t>electric_vehicles</t>
  </si>
  <si>
    <r>
      <t xml:space="preserve">Sales of private EV's: Overall, the “TCOT Project” imposed a positive impact on the </t>
    </r>
    <r>
      <rPr>
        <b/>
        <sz val="11"/>
        <color theme="1"/>
        <rFont val="Calibri"/>
        <family val="2"/>
        <scheme val="minor"/>
      </rPr>
      <t>sales of private EVs</t>
    </r>
    <r>
      <rPr>
        <sz val="11"/>
        <color theme="1"/>
        <rFont val="Calibri"/>
        <family val="2"/>
        <scheme val="minor"/>
      </rPr>
      <t>. The deployment of electric vehicles in the public sector has significantly stimulated the purchase of electric vehicles by individuals. In terms of the encouragement of consumer purchases, the public demonstration of commercial EVs is more effective than that of electric buses</t>
    </r>
  </si>
  <si>
    <t>2009:2012 "Ten Cities, One Thousand Vehicles Project"</t>
  </si>
  <si>
    <t>Demonstration projects and public procurement of EVs in cities with sufficiently high income/capita level, high population density, low air-quality, administrative status of provincial capital or municipality, and where neighboring pilot cities exist.</t>
  </si>
  <si>
    <t>project_developers</t>
  </si>
  <si>
    <t>Which plug-in electric vehicle policies are best? A multi-criteria evaluation framework applied to Canada</t>
  </si>
  <si>
    <t>Policy is an important driver for the deployment of plug-in electric vehicles (PEVs). Most PEV policy research focuses on effectiveness in the short-term, even though policymakers i) typically consider a wider range of evaluation criteria and ii) are setting PEV sales goals in the longer-term (e.g., 2030 or 2040). This study develops a more comprehensive evaluation framework, considering five criteria: (i) effectiveness at increasing PEV adoption in the long-term (2040), (ii) government spending, (iii) public support, (iv) policy simplicity and (v) "transformational signal", the latter being a measure of a policy's ability to stimulate confidence and investment in a PEV transition. We apply this framework to Canada by assessing eight policy types implemented across the country, as well as stronger versions of each policy. We also illustrate trade-offs by constructing three policy packages with similar effectiveness (i.e., PEVs making up 40% of light-duty vehicle sales by 2040). These packages include strong financial incentives ($6,000 CAD per PEV for 20 years), a Zero-Emissions Vehicle (ZEV) sales mandate (requiring 40% PEV sales by 2040), or strengthened light-duty vehicle emissions standards (decreasing to 71 g CO(2)e per km by 2040). These packages differ in terms of government expenditure, policy simplicity, public support and transformative signal. Our framework provides an accessible tool for policymakers to assess such tradeoffs with PEV-supportive policies and to identify approaches that best suit their jurisdiction.</t>
  </si>
  <si>
    <t>Melton, N; &lt;br&gt;Melton, N; &lt;br&gt;Axsen, J; &lt;br&gt;Moawad, B</t>
  </si>
  <si>
    <t>http://dx.doi.org/10.1016/j.erss.2019.101411</t>
  </si>
  <si>
    <t>Forks in the Road to E-Mobility: An Evaluation of Instrument Interaction in National Policy Mixes in Northwest Europe</t>
  </si>
  <si>
    <t>This paper evaluates how policy shaped the emergence of electric mobility in three countries, Norway, the Netherlands and Denmark, between 2010 and 2015. Whereas previous studies have looked at the effects of separate policy instruments, this paper gives insights in the interaction effects of instruments on the diffusion of battery electric cars between five policy areas. Based on analysis of synergetic, contradictory and pre-conditional effects, we find that an effective policy mix includes: fiscal incentives that mirror the actual carbon footprint of the respective vehicles; non-fiscal demand-side incentives; centrally financed and/or coordinated charging infrastructure; clarity regarding the choice of technology that will be supported. Moreover, development of a domestic, e-mobility-related industry and a high share of renewable energy strengthens the legitimization of e-mobility support. The findings help designing policy mixes in the transition to electric mobility.</t>
  </si>
  <si>
    <t>Dijk, M; &lt;br&gt;Iversen, E; &lt;br&gt;Klitkou, A; &lt;br&gt;Kemp, R; &lt;br&gt;Kemp, R; &lt;br&gt;Bolwig, S; &lt;br&gt;Borup, M; &lt;br&gt;Mollgaard, P</t>
  </si>
  <si>
    <t>http://dx.doi.org/10.3390/en13020475</t>
  </si>
  <si>
    <t>ENERGIES</t>
  </si>
  <si>
    <t>interviews_&amp;_official_documents</t>
  </si>
  <si>
    <t>Norway</t>
  </si>
  <si>
    <t>2010:2015</t>
  </si>
  <si>
    <t>relative EV sales levels</t>
  </si>
  <si>
    <t>e_cost_consumer, s_product_range</t>
  </si>
  <si>
    <t>Synergetic mix of centrally financed and/or coordinated charging infrastructure development, sustained supply-side stimulation and comprehensive demand measures and support clarity for countries with high renewable share in electricity mix, domestic car manufacturing industry and high taxes for all (also clean ICEs) - so that EV becomes financially most attractive option as small car, primarly as a second car in early adopting households.</t>
  </si>
  <si>
    <t>consumers, producers</t>
  </si>
  <si>
    <t>national government</t>
  </si>
  <si>
    <t>emission_reductions, new_economic_sector</t>
  </si>
  <si>
    <t>Strategies to accelerate the production and diffusion of fuel cell electric vehicles: Experiences from California</t>
  </si>
  <si>
    <t>Fuel cell electric vehicles (FCEVs) can play a key role in accelerating the electrification of road transport. Specifically, they offer longer driving ranges and shorter refuelling times relative to Battery Electric Vehicles (BEVs) while reducing needs for space-intensive public charging infrastructure. Although the maturity and market penetration of hydrogen is currently trailing batteries, transport planners in several countries are looking to both technologies to reduce carbon emissions and air pollution. Home to the world's largest on-road fleet of FCEVs, California is one such jurisdiction. Experiences in California provide an ideal opportunity to address a gap in literature whereby barriers to FCEV diffusion are well understood, but knowledge on actual strategies to overcome these has lacked. This study thus examines governance strategies in California to accelerate the production and diffusion of FCEVs, key outcomes, lessons learned and unresolved challenges. Evidence is sourced from 19 expert interviews and an examination of diverse documents. Strategies are examined from four perspectives: (i) supply-side (i.e. stimulation of vehicle production), (ii) infrastructure (i.e. construction of refuelling stations and hydrogen production), (iii) demand-side (i.e. stimulation of vehicle adoption) and (iv) institutional (i.e. cross-cutting measures to facilitate collaboration, innovation and cost-reduction). Findings reveal a comprehensive mix of stringent regulation, market and consumer incentives, and public-private collaboration. However, significant challenges remain for spurring the development of fuel cell transport in line with initial ambitions. Highlighting these provides important cues for public policy to accelerate the deployment of FCEVs and hydrogen in California and elsewhere. (c) 2020 The Author. Published by Elsevier Ltd. This is an open access article under the CC BY-NC-ND license (http://creativecommons.org/licenses/by-nc-nd/4.0/).</t>
  </si>
  <si>
    <t>Trencher, G; &lt;br&gt;Trencher, G</t>
  </si>
  <si>
    <t>http://dx.doi.org/10.1016/j.egyr.2020.09.008</t>
  </si>
  <si>
    <t>ENERGY REPORTS</t>
  </si>
  <si>
    <t>California</t>
  </si>
  <si>
    <t>2005:2019</t>
  </si>
  <si>
    <t>fuel_cell_cars_(FCEV)</t>
  </si>
  <si>
    <t>FCEV</t>
  </si>
  <si>
    <t>t_simplicity, e_cost_producer, e_investor_risk_perception, e_cost_consumer</t>
  </si>
  <si>
    <t>Producing FCEVs involves higher technological difficulty and costs relative to BEVs. There are also greater investment risks for automakers. These arise from fewer opportunities to sell vehicles globally due to undeveloped refuelling infrastructure.</t>
  </si>
  <si>
    <t>2005 ZEV program, Low Carbon fuel Standard, ZEV fleet purchase regulation (for buses)</t>
  </si>
  <si>
    <t>consumers, producers, renewable_hydrogen_supply_chain</t>
  </si>
  <si>
    <t>emission_reductions</t>
  </si>
  <si>
    <t>governance_strategies, barriers</t>
  </si>
  <si>
    <t>Vehicle choices and urban transport externalities. Are Norwegian policy makers getting it right?</t>
  </si>
  <si>
    <t>Norway has the world's highest share of battery electric vehicles (BEVs) in its passenger car fleet, thanks to a set of policies that has included high purchase taxes for fossil fueled cars, and no tolls, no VAT, and free parking for BEVs. This paper uses a very stylized transport model for the greater Oslo area to give insights into the effects of different transport policies. With this model we go beyond the market penetration studies for EVs, as it brings together both car choice and transport patterns with mode choice for a set of heterogeneous representative model agents. We illustrate the possible effects of current policies on congestion, CO2 emissions and other urban transport externalities, public transport use and crowding, tax revenues and welfare. On this basis, we explore other road toll, public transport fare and tax policies that can lead to better outcomes for the Oslo transport market while still respecting the CO2-cap that reflects the goals of Norwegian policy makers.</t>
  </si>
  <si>
    <t>Wangsness, PB; &lt;br&gt;Wangsness, PB; &lt;br&gt;Proost, S; &lt;br&gt;Rodseth, KL</t>
  </si>
  <si>
    <t>http://dx.doi.org/10.1016/j.trd.2020.102384</t>
  </si>
  <si>
    <t>TRANSPORTATION RESEARCH PART D-TRANSPORT AND ENVIRONMENT</t>
  </si>
  <si>
    <t>Crafting strong, integrated policy mixes for deep CO(2)mitigation in road transport</t>
  </si>
  <si>
    <t>Transport CO(2)emissions continue to grow globally despite advances in low-carbon technology and goal setting by numerous governments. In this Perspective, we summarize available evidence for the effectiveness of climate policies and policy mixes for road transport relative to 2030 and 2050 mitigation goals implied by the Paris Agreement. Current policy mixes in most countries are not nearly stringent enough. We argue that most regions need a stronger, more integrated policy mix led by stringent regulations and complemented by pricing mechanisms as well as other efforts to reduce vehicle travel. As road transport emissions are set to grow, stronger policy mixes are needed to reach mitigation goals. This Perspective considers the evidence for several policy types-strong regulation, pricing and reduced travel-and the best combination to reduce emissions for passenger and freight vehicles.</t>
  </si>
  <si>
    <t>Axsen, J; &lt;br&gt;Plotz, P; &lt;br&gt;Wolinetz, M</t>
  </si>
  <si>
    <t>http://dx.doi.org/10.1038/s41558-020-0877-y</t>
  </si>
  <si>
    <t>NATURE CLIMATE CHANGE</t>
  </si>
  <si>
    <t>Comprehensive policy evaluation of NEV development in China, Japan, the United States, and Germany based on the AHP-EW model</t>
  </si>
  <si>
    <t>As pressure on resources and the environment continues to intensify, the development of the automobile industry must maintain its momentum. At the same time, the demand for the transition of the national economy to a more sustainable style is increasing. Under such circumstances, the new energy vehicle industry has drawn increasing attention in China and abroad. This nascent industry requires supportive policies from the government for its success. The purpose of this study is to compare the similarities and differences of new energy vehicle-related policies for developing new energy vehicles in China, Japan, Germany, and the United States (U.S.). Based on the analytic hierarchy process-entropy weight method (i.e., AHP-EW model), a combination of subjectivity and objectivity, we adopt a quantitative method to appraise the new energy vehicle development situation in these four countries with a series of indexes, such as technological innovation, market development status, and infrastructure construction level. The results show that Germany is the strongest in terms of comprehensive measurements, followed by China, the U.S., and Japan. In this ranking, the U.S. shows the strongest technological innovation abilities; China is number one in marketing; and Japan is first in infrastructure construction. (C) 2018 Elsevier Ltd. All rights reserved.</t>
  </si>
  <si>
    <t>Ma, Y; &lt;br&gt;Ma, Y; &lt;br&gt;Ma, Y; &lt;br&gt;Ma, Y; &lt;br&gt;Ma, Y; &lt;br&gt;Shi, TY; &lt;br&gt;Shi, TY; &lt;br&gt;Zhang, W; &lt;br&gt;Zhang, W; &lt;br&gt;Hao, Y; &lt;br&gt;Hao, Y; &lt;br&gt;Hao, Y; &lt;br&gt;Hao, Y; &lt;br&gt;Hao, Y; &lt;br&gt;Hao, Y; &lt;br&gt;Huang, JB; &lt;br&gt;Huang, JB; &lt;br&gt;Lin, YA; &lt;br&gt;Lin, YA</t>
  </si>
  <si>
    <t>http://dx.doi.org/10.1016/j.jclepro.2018.12.119</t>
  </si>
  <si>
    <t>JOURNAL OF CLEANER PRODUCTION</t>
  </si>
  <si>
    <t>other_quantitative</t>
  </si>
  <si>
    <t>2012:2017</t>
  </si>
  <si>
    <t>not_described</t>
  </si>
  <si>
    <t>NEW sales and new energy car market share in 2017: China ranks highest in marketing among the analyzed countries (China, US, Germany, Japan)</t>
  </si>
  <si>
    <t xml:space="preserve">Huge governmental Infrastructure (charging) development and sustained governmental support of supply &amp; demand measures (sales tax reductions, procurement) in countries with high energy security concerns, existing automotobile manufacturing industry and strategic interest in this industry (growth, energy security) &amp; environmental concerns, ideally in socialist market economy or countries where state can ensure large and sustained influence and support for automobile sector (procurement of state-owned enterprises, subsidies) in market development phase (CN: 2009-2023). </t>
  </si>
  <si>
    <t>producers, consumers</t>
  </si>
  <si>
    <t>strategic_industry, satisfy_demand_for_transportation, environmental_protection</t>
  </si>
  <si>
    <t>analytic hierarchy process-entropy weight method (AHP-EW model)</t>
  </si>
  <si>
    <t>Creative and disruptive elements in Norway ' s climate policy mix: the small-state perspective</t>
  </si>
  <si>
    <t>Recent scholarship has argued that effective and credible national climate policy mixes should encompass measures that promote new low-carbon technologies alongside those instruments aimed at constraining and phasing out support for existing polluting industries. The creative and disruptive policy measures in Norway ' s climate policy mix are analysed by focusing on both national and international climate mitigation efforts. Norway ' s climate policy mix at home has been more ambitious in the transport sector with a growing electric vehicle market than in the energy sector where niche support and disruptive policies have remained weak. Abroad, Norway has been increasingly active in supporting new low-carbon technologies and disrupting the fossil-fuel industry, especially coal. This is explained by the consensus-seeking and oil and gas dominated small-state social-investment political economy in Norway, combined with a forward-looking foreign policy based on norm-setting and multilateralism.</t>
  </si>
  <si>
    <t>Cetkovic, S; &lt;br&gt;Skjaerseth, JB</t>
  </si>
  <si>
    <t>http://dx.doi.org/10.1080/09644016.2019.1625145</t>
  </si>
  <si>
    <t>ENVIRONMENTAL POLITICS</t>
  </si>
  <si>
    <t>Electric vehicle adoption in Sweden and the impact of local policy instruments</t>
  </si>
  <si>
    <t xml:space="preserve">Rural/Local </t>
  </si>
  <si>
    <t>A transition towards a higher share of electric vehicles has the potential to significantly reduce greenhouse gas emissions. The adoption rate of electric vehicles in Sweden is however relatively slow and varies substantially across municipalities. This study empirically examines the impact of local policy instruments designed to promote the adoption of electric vehicles. We use panel data between 2010 and 2016 to estimate the effect of local policy instruments on the share of newly registered battery electric vehicles in Swedish municipalities. We find that an increased number of public charging points increases the adoption rate, especially in urban municipalities. The results further suggest that public procurement of battery electric vehicles has the potential to be an effective policy instrument. Finally, we find that by adjusting policy instruments to the specific characteristics of municipalities and making them visible to the public, their effectiveness can be increased. Â© 2018 Elsevier Ltd</t>
  </si>
  <si>
    <t>EgnÃ©r, F.; &lt;br&gt;Trosvik, L.</t>
  </si>
  <si>
    <t>http://dx.doi.org/10.1016/j.enpol.2018.06.040</t>
  </si>
  <si>
    <t>Energy Policy</t>
  </si>
  <si>
    <t>Continuity and Change: Dealing with Political Volatility to Advance Climate Change Mitigation Strategies-Examples from the Transport Sector</t>
  </si>
  <si>
    <t>International</t>
  </si>
  <si>
    <t>As the recent withdrawal of the United States from the Paris Agreement has shown, political volatility directly affects climate change mitigation policies, in particular in sectors, such as transport associated with long-term investments by individuals (vehicles) and by local and national governments (urban form and transport infrastructure and services). There is a large potential for cost-effective solutions to reduce greenhouse gas emissions and to improve the sustainability of the transport sector that is yet unexploited. Considering the cost-effectiveness and the potential for co-benefits, it is hard to understand why efficiency gains and CO2 emission reductions in the transport sector are still lagging behind this potential. Particularly interesting is the fact that there is substantial difference among countries with relatively similar economic performances in the development of their transport CO2 emissions over the past thirty years despite the fact that these countries had relatively similar access to efficient technologies and vehicles. This study aims to explore some well-established political science theories on the particular example of climate change mitigation in the transport sector in order to identify some of the factors that could help explain the variations in success of policies and strategies in this sector. The analysis suggests that institutional arrangements that contribute to consensus building in the political process provide a high level of political and policy stability which is vital to long-term changes in energy end-use sectors that rely on long-term investments. However, there is no direct correlation between institutional structures, e.g., corporatism and success in reducing greenhouse gas emissions in the transport sector. Environmental objectives need to be built into the consensus-based policy structure before actual policy progress can be observed. This usually takes longer in consensus democracies than in politically more agile majoritarian policy environments, but the policy stability that builds on corporatist institutional structures is likely to experience changes over a longer-term, in this case to a shift towards low-carbon transport that endures.</t>
  </si>
  <si>
    <t>Lah, O; &lt;br&gt;Lah, O</t>
  </si>
  <si>
    <t>http://dx.doi.org/10.3390/su9060959</t>
  </si>
  <si>
    <t>SUSTAINABILITY</t>
  </si>
  <si>
    <t>Electric vehicle law and policy: A comparative analysis</t>
  </si>
  <si>
    <t>Law and policy initiatives to encourage the uptake of electric vehicles are examined in an international context. The efforts of several jurisdictions to overcome barriers to a more rapid uptake of electric vehicles are examined: Norway, California, Germany, New Zealand, Australia and France. Price support is found to be essential as long as electric vehicles are more expensive than internal combustion vehicles. However the impact of fuel efficiency standards is greater than is sometimes appreciated, especially if reducing greenhouse gas emissions and increasing energy security are key benefits in electric vehicles. Other measures are also examined. It is concluded that electric vehicle policy may diverge at key points from transport policy and from climate change policy. Care is needed to design laws and measures that will be effective from those different policy points of view, and that will promote social equity at the same time. Â© 2016 International Bar Association.</t>
  </si>
  <si>
    <t>Barton, B.; &lt;br&gt;SchÃ¼tte, P.</t>
  </si>
  <si>
    <t>http://dx.doi.org/10.1080/02646811.2017.1262087</t>
  </si>
  <si>
    <t>J. Energy Nat. Resources L.</t>
  </si>
  <si>
    <t>2009:2016</t>
  </si>
  <si>
    <t>renewable_share_in_electricity_high</t>
  </si>
  <si>
    <t>e_electricity_mix, e_oil_prices</t>
  </si>
  <si>
    <t>e_costs, t_substituability, t_network_dependency, e_cost_consumer, s_public_acceptance</t>
  </si>
  <si>
    <t>capital cost: EVs have a higher capital cost in comparison with ICVs, substituability: The shorter driving range &amp; long charging times &amp; limited supply in terms of segments and brands, network-dependency: need for a better-developed charging infrastructure, consumer prices: EVs have a high price premium over non-EVs</t>
  </si>
  <si>
    <t>Infrastructure investments, supply-side measures (vehicle ghg standard), and demand side measures (tax reliefs, non financial investments, public procurement, demonstration projects) supported by institutional creation for countries with high share of renewables in electricity mix to effectively reduce emissions in transport sector and mitigate high oil prices</t>
  </si>
  <si>
    <t>Business innovation and government regulation for the promotion of electric vehicle use: lessons from Shenzhen, China</t>
  </si>
  <si>
    <t xml:space="preserve">Industry </t>
  </si>
  <si>
    <t>The deployment of electric vehicles has attracted growing attention and is now seen as a possible pathway for a transition towards sustainable transportation. This paper provides insight into the commercialization of electric vehicles in Shenzhen focusing on business innovation and the regulatory context in which it occurs. Using the business model canvas framework, this paper analyzes interactions between enterprises and governments along the value chain of electric vehicles in the bus and taxi fleets. It also discusses the strengths and weaknesses of the Shenzhen model both in business innovation and government regulation for promoting electric vehicle use. This paper finds that Shenzhen has succeeded in fostering a distinct government-enterprise cooperation model that not only reduces the financial pressure on the local government to promote electric vehicle use, but also gives enterprises significant leeway to experiment with various innovative business models. The joint result of these efforts is that the commercialization of electric vehicles has become feasible for delivering the public transport service (buses and taxis) in Shenzhen. Still, this paper argues that the current model of Shenzhen can be further enhanced by: 1) encouraging private investment in charging infrastructures by means of public-private-partnerships; and 2) standardizing electric-vehicle technologies and production to break down the local protectionism in the electric vehicle market. The Shenzhen model acts as a source of inspiration by pointing out the significance of integrating business innovations and government regulations to facilitate the deployment of electric vehicles, which provides practical lessons for industrial players and policy makers in other cities. Furthermore, this work offers theoretical references regarding the application of the multi-actor perspective and the business model canvas framework to analyze the actors and interactions along the value chain of innovative technologies. (C) 2015 Elsevier Ltd. All rights reserved.</t>
  </si>
  <si>
    <t>Li, Y; &lt;br&gt;Zhan, CJ; &lt;br&gt;de Jong, M; &lt;br&gt;de Jong, M; &lt;br&gt;Lukszo, Z</t>
  </si>
  <si>
    <t>http://dx.doi.org/10.1016/j.jclepro.2015.10.013</t>
  </si>
  <si>
    <t>Learning from an electromobility living lab: Experiences from the Estonian ELMO programme</t>
  </si>
  <si>
    <t>The article provides insights into the setting up of the Estonian electromobility pilot programme (ELMO) and evaluates its first outcomes. The uniqueness of the Estonian case lies in its nationwide scale and extremely fast implementation. In the middle of 2010 the government initiated the ELMO programme as part of the larger project for using excess carbon emission quotas for emission reduction projects. The programme also contained the building of the first nationwide electric car quick charging network in the world. This paper focuses on the underlying objectives at different spatial levels and the setting up of the feedback mechanisms according to the living lab framework. In order to provide recommendations for effective policy measures for fostering the diffusion of radical innovations like electromobility, a holistic view proves to be essential. The case study aims to offer overview of experiences that either could be copied or should be avoided when planning and executing electromobility pilot projects in follower countries. Â© 2015 World Conference on Transport Research Society.</t>
  </si>
  <si>
    <t>Joller, L.; &lt;br&gt;Varblane, U.</t>
  </si>
  <si>
    <t>http://dx.doi.org/10.1016/j.cstp.2015.11.001</t>
  </si>
  <si>
    <t>Case Stud. Transp. Policy</t>
  </si>
  <si>
    <t>case-study_(qualitative)</t>
  </si>
  <si>
    <t>Estonia</t>
  </si>
  <si>
    <t>2011:2014</t>
  </si>
  <si>
    <t>technology_introducer</t>
  </si>
  <si>
    <t>own assumption</t>
  </si>
  <si>
    <t>descriptive_statistics</t>
  </si>
  <si>
    <t>e_funding_through_excess_CO2_quotas, e_electricity_mix, s_public_acceptance</t>
  </si>
  <si>
    <t>Estonian electromobility pilot programme ELMO 2011-2012., incl. electric car purchase grant scheme (2011-7), Source: Authors’ own compilation, based on data from Estonian Road Administration [http://www.mnt.ee/index.php?id=10797] accessed 5.12.2014.</t>
  </si>
  <si>
    <t>consumers</t>
  </si>
  <si>
    <t>emission_reductions, satisfy_EU_mandate</t>
  </si>
  <si>
    <t>policy, driver</t>
  </si>
  <si>
    <t>policy_effectiveness</t>
  </si>
  <si>
    <t>Comparative study on electric vehicle policies between Korea and EU countries</t>
  </si>
  <si>
    <t>To significantly reduce greenhouse gas, the Korean government announced an ambitious EV deployment plan in 2010. According to that plan, one millions EVs would be provided by 2020. However, the target of EV deployment was not achieved despite strong political support. As a result, the government modified the initial plan by reducing the target number of EVs from 1 million to 200,000. Many EV experts thought the issue arose from poor policy framework and implementation process. The purpose of this paper is to find relevant policy direction in Korea by comparing the policy formulation and implementation process between EU countries and Korea. Concerning policy formulation, we examined the legislation and planning process to know what to prepare for successful EV policy framework. And for the policy implementing process, we analyzed various incentive measures on how to stimulate the deployment of EV. With comparative research results EV policy implications are drawn. Â© 2015 WEVA.</t>
  </si>
  <si>
    <t>Hwang, S.K.</t>
  </si>
  <si>
    <t>http://dx.doi.org/10.3390/wevj7040692</t>
  </si>
  <si>
    <t>World Electr. Veh. J.</t>
  </si>
  <si>
    <t>Innovative practice of EV -carsharing in China for urban E-mobility</t>
  </si>
  <si>
    <t>EV-Carsharing (called as 'EV-Timesharing' in China) has been rapidly developing with the 2nd round National EV promotion and application project in 88 Chinese EV pilot cities authorized by Central Governments from 2013. While EV-Carsharing has been launching in more than 10 cities by end of 2014, Central Governments will select 4 as demonstration cities from 2015 and give special support to help them integrate EV-Carsharing into urban E-mobility more successfully. Recognizing importance and benefit for energy conservation, emission and traffic congestion reduction from EV-Carsharing, encouraged by Central Governments and pilot cities, more and more cities are preparing for EV-Carsharing to develop local EV industry and expand usage for urban E-mobility. This report is based on deep understanding of Chinese EV Pilot City as the biggest background for EVCarsharing's boom in China in past 2 years. Through conducting comparative studies, field investigation, survey, expert interview, data collection and analysis, this report comprehensively summarizes latest status of EV-Carsharing in China and some typical practice in different cities and highlights successful experience as well as barriers on key dimensions for EV-Carsharing, including application of telematics on EVs, Governments' policy and administration, business and operating models, safety and security system and consumers' education. Suggestions and guidelines will also be provided with recommendations on operating successful EV-Carsharing for urban E-mobility and better low carbon society for both China and other areas. Â© 2015 WEVA.</t>
  </si>
  <si>
    <t>Wu, X.; &lt;br&gt;Yang, X.; &lt;br&gt;Shi, H.</t>
  </si>
  <si>
    <t>http://dx.doi.org/10.3390/wevj7040670</t>
  </si>
  <si>
    <t>EV policy compared: An international comparison of governments' policy strategy towards E-mobility</t>
  </si>
  <si>
    <t>This paper addresses and explores the different strategies governments pursue to support the introduction of plug-in hybrid electric vehicles (PHEVs) and battery electric vehicles (BEVs). This paper presents findings from a European research project that mapped current policies in eight countries, with California as a comparative case to contrast the European findings. The authors analysed the policy strategies that countries have put to practice and analyse how they have performed so far. Arguably, many countries appear to be on track to achieving their short-term goals; in that sense, EV policy is successful. However, once the longer term policy goals for e-mobility are taken into account, it is unlikely that the current policies will be sufficient. Therefore, the authors point out some lessons from current polÂ­icies that may show a route into the next phase of the introduction of e-mobility. The paper is part of the Interreg e-mobility North Sea Region (E-Mobility NSR) partnership project, which is co-funded by the EU and participating countries/ regions/organisations. Â© Springer International Publishing Switzerland 2015.</t>
  </si>
  <si>
    <t>Van Der Steen, M.; &lt;br&gt;Van Schelven, R.M.; &lt;br&gt;Kotter, R.; &lt;br&gt;Van Twist, M.; &lt;br&gt;Van Deventer Mpa, P.</t>
  </si>
  <si>
    <t>http://dx.doi.org/10.1007/978-3-319-13194-8_2</t>
  </si>
  <si>
    <t>Details_applicability</t>
  </si>
  <si>
    <t>Detail.</t>
  </si>
  <si>
    <t>Type</t>
  </si>
  <si>
    <t>Entry</t>
  </si>
  <si>
    <t xml:space="preserve">detail </t>
  </si>
  <si>
    <t>Entry category</t>
  </si>
  <si>
    <t>Targeted actors</t>
  </si>
  <si>
    <t>Policy_relation</t>
  </si>
  <si>
    <t>Asia–Pacific</t>
  </si>
  <si>
    <t>energy</t>
  </si>
  <si>
    <t>electricity</t>
  </si>
  <si>
    <t>CCS</t>
  </si>
  <si>
    <t>PV</t>
  </si>
  <si>
    <t>brazil</t>
  </si>
  <si>
    <t>stated</t>
  </si>
  <si>
    <t>e_cost_consumer</t>
  </si>
  <si>
    <t>READ ME  [Elaborate on each code used in this section. Goal is provide documentation for other readers. Use comma seperation to match the order of the codes section]</t>
  </si>
  <si>
    <t>geophysical</t>
  </si>
  <si>
    <t>b_grid_access</t>
  </si>
  <si>
    <t>READ ME [Elaborate on each code used in this section. Goal is provide documentation for other readers. Use comma seperation to match the order of the codes section]</t>
  </si>
  <si>
    <t>economic_instrument</t>
  </si>
  <si>
    <t>air_quality</t>
  </si>
  <si>
    <t>Ministries</t>
  </si>
  <si>
    <t>policy</t>
  </si>
  <si>
    <t>comparative analysis</t>
  </si>
  <si>
    <t>Australia</t>
  </si>
  <si>
    <t>industry</t>
  </si>
  <si>
    <t>heat</t>
  </si>
  <si>
    <t>onshore</t>
  </si>
  <si>
    <t>developing_economies</t>
  </si>
  <si>
    <t>suggested_by_author</t>
  </si>
  <si>
    <t>cross_linkages_(author_suggests_applicability_in_other_country)</t>
  </si>
  <si>
    <t>e_cost_of_capital</t>
  </si>
  <si>
    <t>e_cost_producer</t>
  </si>
  <si>
    <t>technological</t>
  </si>
  <si>
    <t>b_net_metering</t>
  </si>
  <si>
    <t>regulatory_instrument</t>
  </si>
  <si>
    <t>investors</t>
  </si>
  <si>
    <t>electrification_rural</t>
  </si>
  <si>
    <t>NGOs</t>
  </si>
  <si>
    <t>driver</t>
  </si>
  <si>
    <t>conceptual_analysis</t>
  </si>
  <si>
    <t>buildings</t>
  </si>
  <si>
    <t>energy-intensive_industries_hard-to-abate_emission</t>
  </si>
  <si>
    <t>renewables</t>
  </si>
  <si>
    <t>offshore</t>
  </si>
  <si>
    <t>domestic_manufacturing_industry</t>
  </si>
  <si>
    <t>analysis_for_other_country</t>
  </si>
  <si>
    <t>regional_global_validation</t>
  </si>
  <si>
    <t>e_costs</t>
  </si>
  <si>
    <t>economic</t>
  </si>
  <si>
    <t>b_removal_of_fossil-fuel_subsidies</t>
  </si>
  <si>
    <t>information_and_education</t>
  </si>
  <si>
    <t>investors_private</t>
  </si>
  <si>
    <t>electrification_sector</t>
  </si>
  <si>
    <t>International_bodies</t>
  </si>
  <si>
    <t>policy_context</t>
  </si>
  <si>
    <t>interview</t>
  </si>
  <si>
    <t>solar</t>
  </si>
  <si>
    <t>federal states</t>
  </si>
  <si>
    <t>e_interest_rate</t>
  </si>
  <si>
    <t>e_investor_risk_perception</t>
  </si>
  <si>
    <t>socio_cultural</t>
  </si>
  <si>
    <t>b_removal_of_split_incentives_(landlord_tenant_problem)</t>
  </si>
  <si>
    <t>policy_support</t>
  </si>
  <si>
    <t>labor_markets?</t>
  </si>
  <si>
    <t>Municipal</t>
  </si>
  <si>
    <t>governance_strategies</t>
  </si>
  <si>
    <t>carbon_management</t>
  </si>
  <si>
    <t>wind</t>
  </si>
  <si>
    <t>FCEV_fuel_cell_electric_vehicle</t>
  </si>
  <si>
    <t>fragile_states</t>
  </si>
  <si>
    <t>e_cost_state</t>
  </si>
  <si>
    <t>i_institutional_capacity</t>
  </si>
  <si>
    <t xml:space="preserve">institutional </t>
  </si>
  <si>
    <t>b_legal_barrier_removal</t>
  </si>
  <si>
    <t>rd&amp;d</t>
  </si>
  <si>
    <t>employment</t>
  </si>
  <si>
    <t>barriers</t>
  </si>
  <si>
    <t>mixed-method_(qualitative_&amp;_quantitative)</t>
  </si>
  <si>
    <t>EU</t>
  </si>
  <si>
    <t>india</t>
  </si>
  <si>
    <t>s_domestic industry</t>
  </si>
  <si>
    <t>environmental</t>
  </si>
  <si>
    <t>b_reduced_regulatory_overhead</t>
  </si>
  <si>
    <t xml:space="preserve">When there is easier compliance, permit issues, approvals. </t>
  </si>
  <si>
    <t>voluntary_approaches</t>
  </si>
  <si>
    <t>producers</t>
  </si>
  <si>
    <t>energy_sovereignty</t>
  </si>
  <si>
    <t>learning</t>
  </si>
  <si>
    <t>France</t>
  </si>
  <si>
    <t>least_developed_countries</t>
  </si>
  <si>
    <t>e_economic_growth_objective</t>
  </si>
  <si>
    <t>economic growth in sector as government objective</t>
  </si>
  <si>
    <t>s_product_range</t>
  </si>
  <si>
    <t>cl_coordinating_body_for_climate_strategy</t>
  </si>
  <si>
    <t>barrier_removal</t>
  </si>
  <si>
    <t>renewable_hydrogen_supply_chain</t>
  </si>
  <si>
    <t>energy_security</t>
  </si>
  <si>
    <t>Germany</t>
  </si>
  <si>
    <t>e_electricity_mix</t>
  </si>
  <si>
    <t>t_maturity_(technology_and_market_readiness)</t>
  </si>
  <si>
    <t>cl_climate_strategy</t>
  </si>
  <si>
    <t>climate_strategy</t>
  </si>
  <si>
    <t>public</t>
  </si>
  <si>
    <t>environmental_protection</t>
  </si>
  <si>
    <t>survey</t>
  </si>
  <si>
    <t>Ghana</t>
  </si>
  <si>
    <t>OECD</t>
  </si>
  <si>
    <t>e_employment_effect</t>
  </si>
  <si>
    <t>t_network_dependency</t>
  </si>
  <si>
    <t>com_clarity_regarding_technology_supported</t>
  </si>
  <si>
    <t>target</t>
  </si>
  <si>
    <t>India</t>
  </si>
  <si>
    <t>e_carbon_price</t>
  </si>
  <si>
    <t>t_simplicity</t>
  </si>
  <si>
    <t>com_narrative</t>
  </si>
  <si>
    <t>communication</t>
  </si>
  <si>
    <t>health_effects</t>
  </si>
  <si>
    <t>Iran</t>
  </si>
  <si>
    <t>rural_electrification</t>
  </si>
  <si>
    <t xml:space="preserve">e_market_creation </t>
  </si>
  <si>
    <t xml:space="preserve">Specify the market in codebook details </t>
  </si>
  <si>
    <t>t_substituability</t>
  </si>
  <si>
    <t>e_financing_options</t>
  </si>
  <si>
    <t xml:space="preserve">Specify the type and what kind of financing options  provided. </t>
  </si>
  <si>
    <t xml:space="preserve">international_standing </t>
  </si>
  <si>
    <t>Ireland</t>
  </si>
  <si>
    <t>russia</t>
  </si>
  <si>
    <t>e_fiscal_latitude</t>
  </si>
  <si>
    <t>e_co2_taxes</t>
  </si>
  <si>
    <t>new_economic_sector</t>
  </si>
  <si>
    <t>Marocco</t>
  </si>
  <si>
    <t>southeast_asian</t>
  </si>
  <si>
    <t>e_funding_through_excess_CO2_quotas</t>
  </si>
  <si>
    <t>e.g. related to CO2 or not</t>
  </si>
  <si>
    <t>e_energy_and_other_taxes</t>
  </si>
  <si>
    <t>satisfy_central_governments_mandate</t>
  </si>
  <si>
    <t>Mexico</t>
  </si>
  <si>
    <t>e_GDP</t>
  </si>
  <si>
    <t>Specify ex : GDP current level, etc</t>
  </si>
  <si>
    <t>e_feed-in_tariffs</t>
  </si>
  <si>
    <t>satisfy_demand_for_transportation</t>
  </si>
  <si>
    <t>technology_share_high</t>
  </si>
  <si>
    <t>e_GDP_per_capita</t>
  </si>
  <si>
    <t>e_feed-in_premiums</t>
  </si>
  <si>
    <t>strategic_industry</t>
  </si>
  <si>
    <t>Portugal</t>
  </si>
  <si>
    <t>technology_share_low</t>
  </si>
  <si>
    <t xml:space="preserve">e_demand_tax_substitute </t>
  </si>
  <si>
    <t>Specify the susbstitute in the code Codebook</t>
  </si>
  <si>
    <t>e_fossil_transport_fuel_taxes</t>
  </si>
  <si>
    <t>satisfy_EU_mandate</t>
  </si>
  <si>
    <t>South Africa</t>
  </si>
  <si>
    <t>technology_share_medium</t>
  </si>
  <si>
    <t>e_income_per_capita</t>
  </si>
  <si>
    <t>earnings</t>
  </si>
  <si>
    <t>e_funds_to_sub-national_governments</t>
  </si>
  <si>
    <t>Spain</t>
  </si>
  <si>
    <t>USA</t>
  </si>
  <si>
    <t xml:space="preserve">Key role played by Financial Markets or Capital Markets </t>
  </si>
  <si>
    <t>e_ghg_emission_reduction_crediting_and_offsetting_mechanism</t>
  </si>
  <si>
    <t>Sweden</t>
  </si>
  <si>
    <t>e_interest_group_support</t>
  </si>
  <si>
    <t>e_ghg_emissions_allowances</t>
  </si>
  <si>
    <t>United States</t>
  </si>
  <si>
    <t>e_investor_risk</t>
  </si>
  <si>
    <t>Specify details of investor risk, and distribution of the risk</t>
  </si>
  <si>
    <t>e_grants_and_subsidies</t>
  </si>
  <si>
    <t>Vietnam</t>
  </si>
  <si>
    <t>e_market_structure</t>
  </si>
  <si>
    <t xml:space="preserve">Specify the particular market structure </t>
  </si>
  <si>
    <t xml:space="preserve">Subsidy for producers </t>
  </si>
  <si>
    <t>e_oil_prices</t>
  </si>
  <si>
    <t>e_consumption_subsidy</t>
  </si>
  <si>
    <t>Subsidy for consumers</t>
  </si>
  <si>
    <t>e_share_oil_gas_GDP</t>
  </si>
  <si>
    <t>e_green_certificates</t>
  </si>
  <si>
    <t xml:space="preserve">e_vehicle_production </t>
  </si>
  <si>
    <t>all vehicles, including conventional</t>
  </si>
  <si>
    <t>e_infrastructure_investments</t>
  </si>
  <si>
    <t xml:space="preserve">env_impact </t>
  </si>
  <si>
    <t>Specify type, ex pollution, biodiversity, water</t>
  </si>
  <si>
    <t>e_state_loans</t>
  </si>
  <si>
    <t>Lending by state or state owned enterprises</t>
  </si>
  <si>
    <t>g_resources_available</t>
  </si>
  <si>
    <t>e_private_loans</t>
  </si>
  <si>
    <t>Lending by private or international enterprises</t>
  </si>
  <si>
    <t>i_envi_party</t>
  </si>
  <si>
    <t>environment friendly political party</t>
  </si>
  <si>
    <t xml:space="preserve">e_market_incentives </t>
  </si>
  <si>
    <t xml:space="preserve">Specify the type and what kind of marker incentives provided. </t>
  </si>
  <si>
    <t>New Code Nomination Rule List (Enablers, Barriers, Entry)</t>
  </si>
  <si>
    <t>Score (1-10)</t>
  </si>
  <si>
    <t>e_public_privat_partnership</t>
  </si>
  <si>
    <t xml:space="preserve">Rate the following statements about your nominated category between 1-10 </t>
  </si>
  <si>
    <t>i_legal_and_administrative_capacity</t>
  </si>
  <si>
    <t>e_rd&amp;d_funding</t>
  </si>
  <si>
    <t>Not Translatable into existing code</t>
  </si>
  <si>
    <t>i_neighbouring_pilots</t>
  </si>
  <si>
    <t>empowering policy e.g policy mix</t>
  </si>
  <si>
    <t>e_retirement_premium</t>
  </si>
  <si>
    <t>Cannot be put in the details section</t>
  </si>
  <si>
    <t>i_policy</t>
  </si>
  <si>
    <t>e_tax_relief_demand_side</t>
  </si>
  <si>
    <t>Tax relief, rebates, write-offs, benefits for consumers</t>
  </si>
  <si>
    <t>Totally new</t>
  </si>
  <si>
    <t>i_political_acceptance</t>
  </si>
  <si>
    <t>e_tax_relief_supply_side</t>
  </si>
  <si>
    <t>Tax relief, rebates, write-offs, benefits for producers</t>
  </si>
  <si>
    <t>Likely to be used often</t>
  </si>
  <si>
    <t>i_political_stability</t>
  </si>
  <si>
    <t>e_tendering_schemes</t>
  </si>
  <si>
    <t xml:space="preserve">Simplifies existing categories </t>
  </si>
  <si>
    <t>i_political_support_international_competition</t>
  </si>
  <si>
    <t>e_user_changes</t>
  </si>
  <si>
    <t>Sum</t>
  </si>
  <si>
    <t>i_political_support_national_competition</t>
  </si>
  <si>
    <t>e_white_certificates</t>
  </si>
  <si>
    <t>i_political_system</t>
  </si>
  <si>
    <t>e_state_guarantees</t>
  </si>
  <si>
    <t>If sum is greater than 25, put the nomination on the mattermost channel</t>
  </si>
  <si>
    <t>s_admin_status</t>
  </si>
  <si>
    <t>e.g._provincial_capital,_municipality_,urban,_rural</t>
  </si>
  <si>
    <t>i_advice_and_aid_in_implementation</t>
  </si>
  <si>
    <t>s_climate_targets</t>
  </si>
  <si>
    <t>i_comparison_label</t>
  </si>
  <si>
    <t>s_distributional_effects</t>
  </si>
  <si>
    <t>i_endorsement_label</t>
  </si>
  <si>
    <t>s_domestic_industry</t>
  </si>
  <si>
    <t>political economy factor (international)</t>
  </si>
  <si>
    <t>i_information_provision</t>
  </si>
  <si>
    <t>s_effects_on_health_and_well-being</t>
  </si>
  <si>
    <t>i_professional_training_and_qualification</t>
  </si>
  <si>
    <t>s_energy_security</t>
  </si>
  <si>
    <t>If the country is seeking energy security or if the country is enabled by its energy security</t>
  </si>
  <si>
    <t>p_institutional_creation</t>
  </si>
  <si>
    <t>s_gender_ratio</t>
  </si>
  <si>
    <t>p_strategic_planning</t>
  </si>
  <si>
    <t>s_green_public_transport_objective</t>
  </si>
  <si>
    <t xml:space="preserve">When the state\govt buys things for itself and its use. Ex electric cars for all public officials, or only renewables for govt buildings. </t>
  </si>
  <si>
    <t>s_history_of_sustained_support</t>
  </si>
  <si>
    <t>political economy factor (domestic)</t>
  </si>
  <si>
    <t xml:space="preserve">When the state\govt buys sets a general regulation on the purchase and procurement for other buyers. Ex- all cars bought after 2020 must be electric </t>
  </si>
  <si>
    <t>s_industry_of_strategic_political_interest</t>
  </si>
  <si>
    <t>r_auditing</t>
  </si>
  <si>
    <t>s_interest_group_support</t>
  </si>
  <si>
    <t>r_building_codes_and_standards</t>
  </si>
  <si>
    <t>s_population_density</t>
  </si>
  <si>
    <t>r_min_share_renew_hydrogen_content_in_hydrogen_supply</t>
  </si>
  <si>
    <t>for Evs less product models exist than for conventional cars which makes them less attractive to consumers with specific needs or love for variety</t>
  </si>
  <si>
    <t>r_monitoring</t>
  </si>
  <si>
    <t>s_public_acceptance</t>
  </si>
  <si>
    <t>r_non_financial_incentives</t>
  </si>
  <si>
    <t xml:space="preserve">e.g. free parking, use of bus lane allowed with EV licence plate. Note down any signficant NFI which is cross-comparable </t>
  </si>
  <si>
    <t>r_obligation_schemes</t>
  </si>
  <si>
    <t>s_share_emi_transpor</t>
  </si>
  <si>
    <t>r_other_mandatory_requirements</t>
  </si>
  <si>
    <t>s_urbanisation</t>
  </si>
  <si>
    <t>percentage of urbanisation</t>
  </si>
  <si>
    <t>r_product_standards</t>
  </si>
  <si>
    <t>s_vehicles_per_capita</t>
  </si>
  <si>
    <t>r_sectoral_standards</t>
  </si>
  <si>
    <t xml:space="preserve">s_path_dependency </t>
  </si>
  <si>
    <t xml:space="preserve">When certain policy tragectories are set by choices made prior to entry </t>
  </si>
  <si>
    <t>r_vehicle_fuel-economy_and_emissions_standards</t>
  </si>
  <si>
    <t>t_granularity</t>
  </si>
  <si>
    <t>rdd_demonstration_project</t>
  </si>
  <si>
    <t>t_maturity</t>
  </si>
  <si>
    <t>rdd_technology_deployment_and_diffusion</t>
  </si>
  <si>
    <t>rdd_technology_development</t>
  </si>
  <si>
    <t>t_scalability</t>
  </si>
  <si>
    <t>t_formal_target</t>
  </si>
  <si>
    <t xml:space="preserve">Specify if legally binding </t>
  </si>
  <si>
    <t>t_formal_energy_efficiency_target</t>
  </si>
  <si>
    <t>t_formal_ghg_reduction_target</t>
  </si>
  <si>
    <t>t_transfer</t>
  </si>
  <si>
    <t>t_formal_RE_target</t>
  </si>
  <si>
    <t xml:space="preserve">t_risk </t>
  </si>
  <si>
    <t>Inherent risks, uncertainities in the technology beyond the ambit of policy. Example environmental, ecological, health risks posed by technology</t>
  </si>
  <si>
    <t>t_formal_transport_target</t>
  </si>
  <si>
    <t>t_political_target</t>
  </si>
  <si>
    <t>t_political_energy_efficiency_target</t>
  </si>
  <si>
    <t xml:space="preserve">Retrofix Enablers </t>
  </si>
  <si>
    <t>Count</t>
  </si>
  <si>
    <t xml:space="preserve">New Version </t>
  </si>
  <si>
    <t>t_political_reduction_target_</t>
  </si>
  <si>
    <t>e_GDP_current_level</t>
  </si>
  <si>
    <t>yes (list enabler detail)</t>
  </si>
  <si>
    <t>t_political_renewable_energy_target</t>
  </si>
  <si>
    <t>e_ICE_demand_tax</t>
  </si>
  <si>
    <t>e_demand_tax</t>
  </si>
  <si>
    <t>e_demand_tax_substitute (ICE in codebook enabler detail)</t>
  </si>
  <si>
    <t>v_negotiated_agreements_(public/private_sector)</t>
  </si>
  <si>
    <t>env_impact_on_air_pollution</t>
  </si>
  <si>
    <t>v_public_voluntary_schemes</t>
  </si>
  <si>
    <t>Retrofix Barriers</t>
  </si>
  <si>
    <t>Corresponding Enabler</t>
  </si>
  <si>
    <t>Retrofix Entry</t>
  </si>
  <si>
    <t>e_feed-in_tariffs_or_premiums</t>
  </si>
  <si>
    <t>e_feed_in_tariffs, e_feed_in_premiums</t>
  </si>
  <si>
    <t>e_procurement_rules</t>
  </si>
  <si>
    <t>r_procurment_rules_govt_consumption, r_procurement_rules_general</t>
  </si>
  <si>
    <t>e_tax_relief</t>
  </si>
  <si>
    <t>e_tax_relief_supply_side, e_tax_relief_demand_side</t>
  </si>
  <si>
    <t xml:space="preserve"> e_production_subsidy, e_consumption_subsidy</t>
  </si>
  <si>
    <t>e_market_incentives_hydrogen_infrastructure_supply</t>
  </si>
  <si>
    <t>t_formal_&amp;_legally_binding_ghg_reduction_target_</t>
  </si>
  <si>
    <t>t_formal_&amp;_legally_binding_renewable_energy_target</t>
  </si>
  <si>
    <t>t_formal_&amp;_legally_binding_share_ZeroEmissionVehicle_sales_target</t>
  </si>
  <si>
    <t>t_political_&amp;_non-binding_renewable_energy_target</t>
  </si>
  <si>
    <t>t_political_RE_target</t>
  </si>
  <si>
    <t>China, Jiangxi Province</t>
  </si>
  <si>
    <t>retailers_EV</t>
  </si>
  <si>
    <t>Share of the EV sales in total vehicle sales, per province</t>
  </si>
  <si>
    <t xml:space="preserve">Focus on public transport through ambitious target for electric busses for potential green public transport areas with (weak automotive industry, high population density and low number if vehicles per capita.) </t>
  </si>
  <si>
    <t xml:space="preserve">Extraction </t>
  </si>
  <si>
    <t>23 semi-structured interviews with key policy and industry participants and observers of electrification efforts in California, Norway, and Québec +  a range of secondary sources informs the analysis, including government documents, databases and webs</t>
  </si>
  <si>
    <t>Québec</t>
  </si>
  <si>
    <t>BEV_and_PHEV</t>
  </si>
  <si>
    <t>green_growth, new_economic_sector</t>
  </si>
  <si>
    <t>prob_for_policy, policy_effectiveness</t>
  </si>
  <si>
    <t>PV_Distributed</t>
  </si>
  <si>
    <t>PV_Concentrated</t>
  </si>
  <si>
    <t>e_electricity_mix, e_market_structure, i_political_acceptance, s_interest_group_support, i_legal_and_administrative_capacity</t>
  </si>
  <si>
    <t xml:space="preserve">e_market_financial </t>
  </si>
  <si>
    <r>
      <t xml:space="preserve">Low cost, low emission, abundant hydropower; 
Québec lacks a domestic passenger automobile industry, eliminating direct competition with established (and potentially slow-to-adopt) combustion-engine manufacturers;
electrifying transportation became common-sense—a norm that emerged over time from various EV initiatives. Due to its widespreadacceptance, additional EV governance experiments encountered little opposition from the public, politicians, or the private sector;
Environmental organizations created the </t>
    </r>
    <r>
      <rPr>
        <i/>
        <sz val="11"/>
        <color theme="1"/>
        <rFont val="Calibri"/>
        <family val="2"/>
        <scheme val="minor"/>
      </rPr>
      <t>Coalition zéro émission Québec</t>
    </r>
    <r>
      <rPr>
        <sz val="11"/>
        <color theme="1"/>
        <rFont val="Calibri"/>
        <family val="2"/>
        <scheme val="minor"/>
      </rPr>
      <t xml:space="preserve"> in 2014;
Unlike other jurisdictions with deregulated electricity markets, the state-owned utility monopoly, Hydro-Que  ́bec, faced fewer coordination challenges related to electromobilty. Within the provincial government, the iterative five-year strategic planning process has brought together a broad range of departments and agencies to advance transportation electrification</t>
    </r>
  </si>
  <si>
    <t>e_production_subsidy</t>
  </si>
  <si>
    <t>r_procurement_rules_general</t>
  </si>
  <si>
    <t>r_procurement_rules_govt_consumption</t>
  </si>
  <si>
    <t>A growing suite of policies […] made using EVs more convenient (e.g., [public] charging network);
Early EV policy in the 1970s and 1980s focused on government-funded R&amp;D through Hydro-Québec’s research centre IREQ;
financial EV purchase incentive;
Since the province started nationalizing the [utility] sector in 1963 to form Hydro-Québec, policymakers used the public monopoly to promote local industrial development and reduce residential electricity costs. In 1967, as part of its economic development mandate, Hydro-Québec created the L’Institut de recherche d’Hydro-Que  ́bec (IREQ);
public procurement of electric buses;
additional EV use incentives (e.g., access to HOV lanes, charging facilities);
passenger ICEV ban by 2035;</t>
  </si>
  <si>
    <t>regional_government</t>
  </si>
  <si>
    <t>electrification_sector, environmental_protection</t>
  </si>
  <si>
    <t xml:space="preserve">Clean Vehicle Rabate Project
Low Carbon Fuel Standard (LCFS)
</t>
  </si>
  <si>
    <t>e_ghg_emission_reduction_crediting_and_offsetting_mechanism, e_ghg_emissions_allowances, e_infrastructure_investments, e_public_privat_partnership, e_rd&amp;d_funding, e_tax_relief_demand_side, r_non_financial_incentives, r_product_standards</t>
  </si>
  <si>
    <t>Enabled by low-emission hydropower, strong environmental values, and a well-funded state with no domestic combustion-engine industry competition and Oslo's deteriorating air conditions, Norway built an extensive EV charging network and provided financial incentives that equalized the cost of electric vehicles with conventional ones. Enhanced by supportive measures like free charging, parking, tolls, and ferries, along with a passenger ICEV sales ban, these strategies significantly increased EV adoption by reducing both acquisition and operational costs.</t>
  </si>
  <si>
    <t>Enabled by abundant low-emission hydropower and a supportive regulatory environment devoid of domestic passenger automobile industry competition, Québec has fostered a pro-EV norm that has been embraced across political, public, and private sectors, thanks to early initiatives and widespread acceptance. The province capitalized on this momentum by constructing a public charging network and introducing comprehensive policies that include financial EV purchase incentives, public procurement of electric buses, and additional user benefits like HOV lane access and expansive public charging facilities. Hydro-Québec's role as a state-owned utility facilitated coordination in EV efforts, culminating in a legislative passenger ICEV ban by 2035.</t>
  </si>
  <si>
    <t>Enabled by broad coalitions, minimal auto sector presence and declining oil industry, California responded to air pollution with EV policies supported by its technical capacity from aerospace/tech sectors, access to venture capital, strong educational system, further facilitated by cultural norms that value clean air and car culture. Policies include a GHG emission cap-and-trade system financing EV initiatives, GHG emission standards, consumer purchase incentives, funding for university-based R&amp;D, workforce training, and EV charging infrastructure. The state also enforces a Zero Emission Vehicle (ZEV) mandate, offers HOV lane access, and supports public-private partnership for industry knowledge diffusion.</t>
  </si>
  <si>
    <t>s_education</t>
  </si>
  <si>
    <t>e_income_per_capita, s_urbanisation, s_education, e_GDP_per_capita, i_political_support_international_competition</t>
  </si>
  <si>
    <t>e_market_structure, e_share_oil_gas_GDP, env_impact , i_institutional_capacity, s_effects_on_health_and_well-being, t_transfer, s_public_acceptance, e_market_financial , s_education, e_interest_group_support</t>
  </si>
  <si>
    <t>education of public affects policy and/or tech deployment</t>
  </si>
  <si>
    <t>Suitable_Resource_Endowment</t>
  </si>
  <si>
    <t>e_electricity_mix, e_interest_group_support, s_history_of_sustained_support, env_impact , i_institutional_capacity, e_market_structure, e_stagnant_growth_fossils</t>
  </si>
  <si>
    <t>country_peculiarity</t>
  </si>
  <si>
    <t>r_ban_moratorium_fossil_alternative</t>
  </si>
  <si>
    <t>e_stagnant_declining_growth_fossils</t>
  </si>
  <si>
    <t>Stagnating or declining fossil industry</t>
  </si>
  <si>
    <t>Ban of fossil alternative to relevant technology, e.g. combustion engine vehicles sales ban</t>
  </si>
  <si>
    <t>e_infrastructure_investments, e_rd&amp;d_funding, e_tax_relief_demand_side, p_institutional_creation, r_procurement_rules_govt_consumption, r_non_financial_incentives, r_ban_moratorium_fossil_alternative</t>
  </si>
  <si>
    <t>enabling local assets</t>
  </si>
  <si>
    <t>policy, enabling local assets</t>
  </si>
  <si>
    <t>Valentin</t>
  </si>
  <si>
    <t>Extraction</t>
  </si>
  <si>
    <t>Rahel</t>
  </si>
  <si>
    <t>Sophie</t>
  </si>
  <si>
    <t>Wega</t>
  </si>
  <si>
    <t>excluded_valentin</t>
  </si>
  <si>
    <t>excluded_sophie</t>
  </si>
  <si>
    <t>large_country</t>
  </si>
  <si>
    <t>middle_income_country</t>
  </si>
  <si>
    <t>strong_state_intervention</t>
  </si>
  <si>
    <t>case-study_(qualitative), interviews_&amp;_official_documents</t>
  </si>
  <si>
    <t>To understand and explain the divergent trajectories of two typical cases, the cities of Shenzhen and Suzhou, we triangulated data from over 100 Chinese-language NEVrelated policy documents, both at the national and local levels, Chinese news sources, and 15 semi-structured expert interviews, lasting between one and two hours each</t>
  </si>
  <si>
    <t>2009:2020</t>
  </si>
  <si>
    <t>health_effects, energy_sovereignty, strategic_industry</t>
  </si>
  <si>
    <t>r_procurement_rules_general, e_consumption_subsidy, r_ban_moratorium_fossil_alternative, r_non_financial_incentives, r_other_mandatory_requirements</t>
  </si>
  <si>
    <t>Public procurement was the main mechanism employed to create demand for electric buses;
a) electric buses: procurement was aided by purchase subsidy to local transport provider b) electric logistics vehicles (ELVS): city government offered ex post operational subsidies in addition to local purchase subsidies c) private passenger car: purchase subsidy d) cities initially subsidised 30% of the construction costs of new charging stations. After 2015, subsidies started to be disbursed based on the power capacity of the charging stations; 
ELVs: purchases of light duty diesel trucks were prohibited;
b) a number of ‘green logistics zones’, where only ELVs are allowed to operate, were established in several of Shenzhen’s districts c) bus lane access and time-limited frew parking. Some roads were closed for ICEs and EVs were exempt from otherwise mandatory and costly (up to ca. 12,000€) licence plate lottery and auction;
30% of parking spaces in new public parking lots were required to be equipped with slow charging facilities</t>
  </si>
  <si>
    <t>e_fiscal_latitude, e_market_structure, i_institutional_capacity</t>
  </si>
  <si>
    <t>One of the wealthiest cities in China;
a) Success of the public procurement of electric buses was significantly enabled by the city's control of the only buyer -  the local public transport provider b) success in deploying electric logistics vehicles (ELVs) in Shenzhen was driven by a few large companies that dominated the market and had the financial strength to invest in ELVs. d) several electricity supply companies were tasked to build charging stations, significantly enabled by the fact that they were state owned;
d) Effectively executing on policy mandates (e.g. building sufficient charging stations) enabled by institutional authority over state owned enterprises e) Shenzhen's special status as a sub-provincial city enabled it to operate without provincial interference and leveraged closer and direct ties to the central government and the alignment to its policies.</t>
  </si>
  <si>
    <t>‘Ten cities, thousand vehicles’ (2009)
‘Energy-saving and New Energy Automotive Industry Development Programme (2012–2020)’
‘dual credit’ policy (2018)
‘Shenzhen Blue Sustainable Action Plan’(2018)</t>
  </si>
  <si>
    <t>consumers, producers, public</t>
  </si>
  <si>
    <t>national government, Municipal</t>
  </si>
  <si>
    <t>enabling_factor</t>
  </si>
  <si>
    <t>policy, enabling_factor</t>
  </si>
  <si>
    <t>Shenzhen's strategic use of its unique administrative advantages, robust fiscal capacity, and cohesive market structure underpinned the city's  implementation of electric vehicle (EV) policies. The city harnessed its special sub-provincial status and control over state-owned enterprises to enforce  public procurement strategies and non-financial incentivessuch as exclusive green zones and charging infrastructure mandates, further supported by substantial consumption subsidies. These efforts were effectively coordinated through a lean institutional framework, enabling rapid policy execution and alignment with national goals, thus establishing a successful model for EV adoption and infrastructure development.</t>
  </si>
  <si>
    <t xml:space="preserve">China, Anhui Province </t>
  </si>
  <si>
    <t>producers_EV</t>
  </si>
  <si>
    <t>Share of the total national EV production, per province &amp; Share of the total national EV-related patents</t>
  </si>
  <si>
    <t>s_domestic_industry, e_economic_growth_objective, s_industry_of_strategic_political_interest, i_political_support_national_competition</t>
  </si>
  <si>
    <t>weak automotive industry; strong local protectionism</t>
  </si>
  <si>
    <t>e_grants_and_subsidies, e_tax_relief_demand_side, r_procurement_rules_govt_consumption, r_non_financial_incentives, e_rd&amp;d_funding, r_product_standards, e_financing_options, i_information_provision, t_formal_target</t>
  </si>
  <si>
    <t xml:space="preserve">Strong policy support for technology development and supply-side support policies through an open market approach as well as significant infrastructure construction and demand-side policies, for [potential] producers [areas with an existing healthy automotive industry if politics are willing to allow for open competition to ensure economic growth. No history of protectionist measures to support e.g. one company] </t>
  </si>
  <si>
    <t>green_growth, strategic_industry</t>
  </si>
  <si>
    <t>economic_factors</t>
  </si>
  <si>
    <t>socio-demographic_factors</t>
  </si>
  <si>
    <t>policy, economic_factors, socio-demographic_factors</t>
  </si>
  <si>
    <t>e_grants_and_subsidies, e_tax_relief_demand_side, r_procurement_rules_govt_consumption, r_non_financial_incentives, e_rd&amp;d_funding, r_product_standards, t_formal_target</t>
  </si>
  <si>
    <t>e_grants_and_subsidies, e_tax_relief_demand_side, r_procurement_rules_govt_consumption, r_non_financial_incentives, e_rd&amp;d_funding, e_financing_options, i_information_provision, t_formal_target</t>
  </si>
  <si>
    <t>China, Shenzhen</t>
  </si>
  <si>
    <t>public_acceptance_&amp;_public_awareness</t>
  </si>
  <si>
    <t>policy, determinant</t>
  </si>
  <si>
    <t>project_developers, producers</t>
  </si>
  <si>
    <t>policy, policy_context</t>
  </si>
  <si>
    <t>renewable_share_in_electricity_high, domestic_manufacturing_industry</t>
  </si>
  <si>
    <t>on-road fleet: California has notably achieved the world’s largest on-road fleet of FCEVs (currently 7,172 in 2020). The ZeroEmissionVehicle program has stimulated the development and production of both BEVs and FCEVs. &amp; sales share of ZEVs: [...] State efforts to spur the production and diffusion of ZEVs have been highly successful. Cumulative sales for light-duty vehicles have gone from almost non-existent in 2009 to over 600,000 and 8% of sales in mid-2019</t>
  </si>
  <si>
    <t>EV fleet share &amp; EV sales share: After having reached 0.4 per cent of the total fleet of passenger vehicles (approximately 10,000 vehicles) in 2012, the number of EVs passed 50,000 in April 2015, with EVs being one-fifth of all sales. […] Percentage of EVs worlds highest</t>
  </si>
  <si>
    <t>e_income_per_capita, s_population_density, env_impact , s_admin_status, i_neighbouring_pilots</t>
  </si>
  <si>
    <t>i_political_system, s_energy_security, e_economic_growth_objective, env_impact , s_industry_of_strategic_political_interest</t>
  </si>
  <si>
    <t xml:space="preserve">s_domestic_industry, e_electricity_mix, s_public_acceptance, s_industry_of_strategic_political_interest, s_history_of_sustained_support, e_demand_tax_substitute </t>
  </si>
  <si>
    <t>(i) high share of renewables in electricty production (97.7%); (ii) high oil and diesel prices</t>
  </si>
  <si>
    <t>Mix of technology-open ZEV supply- and demand-side incentives, grants and market incentives for infrastructure construction, and public-private coordination + FCEV specific market incentives for infrastructure construction - for regions with a large share of transport emissions, strong climate targets and a history of support for Zero Emission Vehicles.</t>
  </si>
  <si>
    <t>e_infrastructure_investments, e_grants_and_subsidies, rdd_demonstration_project</t>
  </si>
  <si>
    <t>Introduce Evs by providing infrastructure investments, demand-side grants and subsidies, and demonstration projects for regions where special funds become available, such as from selling excess CO2 quotas.</t>
  </si>
  <si>
    <t>e_tax_relief_demand_side, e_fossil_transport_fuel_taxes, r_non_financial_incentives, e_infrastructure_investments</t>
  </si>
  <si>
    <t>t_formal_transport_target, e_infrastructure_investments, e_grants_and_subsidies, r_obligation_schemes, e_market_incentives , r_non_financial_incentives, r_procurement_rules_govt_consumption, rdd_demonstration_project, v_negotiated_agreements_(public/private_sector)</t>
  </si>
  <si>
    <t>e_tax_relief_demand_side, e_infrastructure_investments, r_procurement_rules_govt_consumption, r_non_financial_incentives, e_rd&amp;d_funding</t>
  </si>
  <si>
    <t>p_institutional_creation, e_infrastructure_investments, e_rd&amp;d_funding, r_procurement_rules_govt_consumption, r_non_financial_incentives, e_tax_relief_demand_side, r_product_standards</t>
  </si>
  <si>
    <t>policy, driver, barriers, policy_context</t>
  </si>
  <si>
    <t>policy_effectiveness, prob_for_policy</t>
  </si>
  <si>
    <t>;;;</t>
  </si>
  <si>
    <t>;;secondary education;;</t>
  </si>
  <si>
    <t xml:space="preserve">Low cost, low emission, abundant hydropower; 
environmental movement has played a crucial role in shaping environmental policy;
highly resourced state with history of state-led innovation;
Deteriorating local air conditions in Oslo from increased road traffic in the 2010s provided an additional impetus for vehicle electrification;
Leveraged existing broad coalitions;
Norway lacks a domestic automobile industry, eliminating direct competition with established (and potentially slow-to-adopt) combustion-engine manufacturers;;
</t>
  </si>
  <si>
    <t>s_history_of_sustained_support, s_share_emi_transpor, s_public_acceptance</t>
  </si>
  <si>
    <t>demand-side; demand-side; demand-side; demand-side; supply-side; 
supply-side: in addition new product award; supply-side: openness to foreign capital; 
infrastructure support policy; 
infrastructure support policy. Overall: Wide range of sustained supply (R&amp;D &amp; investment subsidies, new product reward, openness to foreign capital), demand (subisdies, tax reliefs, procurement, non-financial benefits) and 
infrastructure support policies (subsidies, targets, regulation, information)</t>
  </si>
  <si>
    <t xml:space="preserve">the state built an EV charging network;
EV policy of the 1970s and 1980s provided direct financial support for EV manufacturing R&amp;D;
state support shifted to providing financial incentives to purchase EVs through reduced taxes […] a suite of EV policies effectively made the price of electric vehicles the same as conventional vehicles;
Free charging, parking, toll roads and ferries all reduced the operating cost and increased driving convenience for EV users;
passenger ICEV sales ban
</t>
  </si>
  <si>
    <t>e_infrastructure_investments, e_rd&amp;d_funding, e_tax_relief_demand_side, r_non_financial_incentives, r_ban_moratorium_fossil_alternative</t>
  </si>
  <si>
    <t>rdd_demonstration_project, r_procurement_rules_govt_consumption</t>
  </si>
  <si>
    <t>EV demonstration project implemented in China during 2009–2012, which is known as ‘‘Ten Cities, One Thousand Vehicles Project’’. The main objective of high-profile demonstrations is to raise public awareness about new technologies, to achieve that a large number of new products would be deployed in public domains and propagated by media.; 
The major activity was to deploy EVs in public domain.</t>
  </si>
  <si>
    <t>purchase tax relief; 
Fiscal incentives that mirror the actual carbon footprint of the respective vehicles; 
Non-fiscal demand-side incentives, such as free use of toll roads, free parking or free use of bus lanes;
Centrally financed and/or coordinated charging infrastructure</t>
  </si>
  <si>
    <t>formal_&amp;_legally_binding_share_ZeroEmissionVehicle_sales_target;
;
;
r_obligation scheme =  r_min_share_renew_hydrogen_content_in_hydrogen_supply; 
e_market_incentives = e_market_incentives_hydrogen_infrastructure_supply;
;
;
;</t>
  </si>
  <si>
    <t xml:space="preserve">;;;
r_non_financial_incentives = parking, bus lane use;
</t>
  </si>
  <si>
    <t>(i) In 2009 the government organisation Transnova was established to support testing and demonstration of new technologies.; 
(ii) It gave financial support to establishing charging stations,; 
(iii) demonstration projects,; 
(iv) supported public procurement; 
Measures as of 2016: (v) EV number plates for privileges like using bus lanes and for awareness generally; 
(vi) exemption from the initial vehicle registration tax, (vi) exemption from value added tax (VAT) (usually 25 per cent) on the purchase of an EV, (vi) lowest fee band for the annual licence (vi) fringe benefit tax (on employee benefits) half the usual rate, (vi) slightly higher mileage allowance where one is payable by an employer; 
(vii) Norway has set more stringent GHG emission standards for vehicles than the European Union. The present objective for new passenger vehicles is that the average CO2 emissions from new cars will be reduced to 85 g/km by 2020.32</t>
  </si>
  <si>
    <t>With support of this transaction, during 2012–2013 the Estonian nationwide electric vehicles’ charging network was built,; 
the electric vehicle purchase grant scheme for private buyers was launched in order to foster the introduction of electric cars,; 
and a demonstration fleet of Mitsubishi i-MiEV electric cars was distributed for free to social workers around Estonia.</t>
  </si>
  <si>
    <t>infrastructure support policy; 
demand-side; 
demand-side; 
demand-side; 
supply-side; 
supply-side; 
supply-side: strong public electrification targets. Overall: Strong targets and regulation for electrification of public transport, infrastructure support polcies. (subsidies, regulation)</t>
  </si>
  <si>
    <t>demand-side; demand-side; demand-side; demand_side; supply-side; supply-side; 
infrastructure-policies; 
Overall: Wide range of sustained supply (R&amp;D &amp; investment subsidies, sales targets), 
demand (subisdies, tax reliefs, procurement, non-financial benefits) and infrastructure support policies (subsidies, targets, regulation, information)</t>
  </si>
  <si>
    <t>Already thriving automotive industry; 
The primary goals of government policies include nurturing influential vehicle enterprises, fostering competitive component manufacturers, establishing strong brands, and building a world-class EV industry cluster;
;</t>
  </si>
  <si>
    <t>whether a city participatesin the high-profile demonstrations mainly depends on the city’s economic development level; 
population density; 
air quality; 
administrative status; 
and whether there exist neighboring pilot cities</t>
  </si>
  <si>
    <t>development of a domestic, e-mobility-related industry; 
and a high share of renewable energy; 
strengthens the legitimization of e-mobility support; 
whereas in Norway and Denmark supporting e-mobility was seen as creating synergies with their renewable energy policy.;
; 
ICE car denand-side taxes related to CO2 since 2007</t>
  </si>
  <si>
    <t>(i) For the last two decades California has served as a testbed for domestic and international automakers developing vehicles and refuelling infrastructure. California’s status as a global frontrunner in FCEV deployment (IEA, 2019) has resulted from a comprehensive mix of policy signalling, stringent regulations, incentives for industry and consumers, and considerable public investments.; 
(ii-iii) Comprising 40% of state-wide emissions against 24% for industry, road transport is comprehensively targeted by government measures to reduce air pollution and GHG emissions in line with aggressive climate targets (e.g. −40% from 1990 levels by 2030).; 
(iv) The willingness of households to invest in FCEVs as their primary vehicle appears to be driven by perceived technical advantages relative to BEVs like longer driving ranges and shorter refuelling times in addition to the three incentives explained above.</t>
  </si>
  <si>
    <t>(i) In China government policies have a powerful impact [socialist market economy].; 
(ii-iii) China has energy security; 
and urban air pollution challenges, and the development of NEVs is an effective technological solution.; 
Compared with other countries, China has a large NEV market and therefore a significant advantage in market promotion.</t>
  </si>
  <si>
    <t>Order</t>
  </si>
  <si>
    <t xml:space="preserve">on-road fleet: In 2014, there were only 4,910 vehicles on the road (SDRC, 2015A). By 2018, the number had increased to 148,256 vehicles (Zhu, 2019), reaching 250,000 vehicles in 2020 (SHG, 2021). By contrast, as Suzhou has not imposed any system of aucti </t>
  </si>
  <si>
    <r>
      <t xml:space="preserve">EV proponents established broad coalitions representing a diverse range of interests among incumbent industries, public sector, and NGO actors;
Limited auto sector presence, mostly eliminating direct competition with established (and potentially slow-to-adopt) combustion-engine manufacturers;
</t>
    </r>
    <r>
      <rPr>
        <sz val="11"/>
        <color rgb="FFFF0000"/>
        <rFont val="Calibri"/>
        <family val="2"/>
        <scheme val="minor"/>
      </rPr>
      <t>The oil industry,</t>
    </r>
    <r>
      <rPr>
        <sz val="11"/>
        <color theme="1"/>
        <rFont val="Calibri"/>
        <family val="2"/>
        <scheme val="minor"/>
      </rPr>
      <t xml:space="preserve"> while historically powerful, faced declining production since 1990 and</t>
    </r>
    <r>
      <rPr>
        <sz val="11"/>
        <color rgb="FFFF0000"/>
        <rFont val="Calibri"/>
        <family val="2"/>
        <scheme val="minor"/>
      </rPr>
      <t xml:space="preserve"> is now being phased out by the state</t>
    </r>
    <r>
      <rPr>
        <sz val="11"/>
        <color theme="1"/>
        <rFont val="Calibri"/>
        <family val="2"/>
        <scheme val="minor"/>
      </rPr>
      <t>;
California’s efforts to electrify transportation embodies a political and economic response to regional air pollution. [...] EV policies only emerged in California in 1990, these early policies benefitted from the institutional legacy from California’s air pollution crisis;
Empowered regulators improved coordination among public and private sector actors, engaged in strategic planning, and shared expertise. They administered key policies that built capacity for EV adoption;
again - air pollution;
strong educational system;
access to San Francisco Bay-area venture capital;
existing technical capacity from aerospace and other technology sectors provided the competence needed to nurture California-based EV manufacturing;
long-standing regional norms that valued clean air and reinforced Californians’ love affair with cars;</t>
    </r>
  </si>
  <si>
    <r>
      <rPr>
        <sz val="11"/>
        <color rgb="FFFF0000"/>
        <rFont val="Calibri"/>
        <family val="2"/>
        <scheme val="minor"/>
      </rPr>
      <t>GHG emission cap-and-trade system financed most of CA's EV initiatives;</t>
    </r>
    <r>
      <rPr>
        <sz val="11"/>
        <color theme="1"/>
        <rFont val="Calibri"/>
        <family val="2"/>
        <scheme val="minor"/>
      </rPr>
      <t xml:space="preserve">
</t>
    </r>
    <r>
      <rPr>
        <sz val="11"/>
        <color rgb="FFFF0000"/>
        <rFont val="Calibri"/>
        <family val="2"/>
        <scheme val="minor"/>
      </rPr>
      <t>fuel</t>
    </r>
    <r>
      <rPr>
        <sz val="11"/>
        <color theme="1"/>
        <rFont val="Calibri"/>
        <family val="2"/>
        <scheme val="minor"/>
      </rPr>
      <t xml:space="preserve"> GHG emission standards;
Charging stations: Purchase incentive for consumers, funding for programs to install EV charging facilities;
VELOZ  is a public-private partnership that promotes </t>
    </r>
    <r>
      <rPr>
        <sz val="11"/>
        <color rgb="FFFF0000"/>
        <rFont val="Calibri"/>
        <family val="2"/>
        <scheme val="minor"/>
      </rPr>
      <t>knowledge diffusion</t>
    </r>
    <r>
      <rPr>
        <sz val="11"/>
        <color theme="1"/>
        <rFont val="Calibri"/>
        <family val="2"/>
        <scheme val="minor"/>
      </rPr>
      <t xml:space="preserve"> within EV industry and the broader public;
California also funds university-based EV R&amp;D and EV-related workforce training programs;
purchase incentive for EVs;
access to HOV lanes;
</t>
    </r>
    <r>
      <rPr>
        <sz val="11"/>
        <color rgb="FFFF0000"/>
        <rFont val="Calibri"/>
        <family val="2"/>
        <scheme val="minor"/>
      </rPr>
      <t>Zero Emission Vehicle (ZEV) mandate;</t>
    </r>
  </si>
  <si>
    <t>share of EV sales in US EV sales</t>
  </si>
  <si>
    <t xml:space="preserve">
share of EV sales in total vehicle sales (highest in the world)</t>
  </si>
  <si>
    <t>share of EV sales in Canada EV sales</t>
  </si>
  <si>
    <t>Special funds from excess CO2 quotas under the Clean Development Mechanism (Kyoto Protocol). In March 2011 the Estonian government approved the selling of 10 million unused emission allowance units (Assigned Amount Units—AAUs) to the Japanese conglomerate Mitsubishi Corporation.; 
[...] the positive environmental impact of electromobility would be questionable when electricity would not be produced locally and from renewable sources.; 
[...] according to the Estonian Human Development Report, Estonians are quite eager to try out new technologies and to make the best use of them.</t>
  </si>
  <si>
    <t>Absolute new EV registrations. (share of electric cars in total registered fleet amongst top in the world in 2014 according to paper authors - no source)</t>
  </si>
  <si>
    <t>Paper from 2016, looks at period 2011-2014. While market introduction was successful in Estonia, the sales share has not increased dramatically since then and was at about 2% in 2021. The paper alread points to the fact that further finance and strategy after the run out of special resources in 2014 was still unclear at that point.</t>
  </si>
  <si>
    <t>Region</t>
  </si>
  <si>
    <t>Policy</t>
  </si>
  <si>
    <t>Date introduced</t>
  </si>
  <si>
    <t>Clean Vehicle Rabate Project</t>
  </si>
  <si>
    <t>Low Carbon Fuel Standard (LCFS)</t>
  </si>
  <si>
    <t>Estonian electromobility pilot programme ELMO</t>
  </si>
  <si>
    <t>2020:2020</t>
  </si>
  <si>
    <t>Advanced Clean Cars I</t>
  </si>
  <si>
    <t>Low Emission Vehicle (LEV) program</t>
  </si>
  <si>
    <t>Ten Cities, One Thousand Vehicles Project</t>
  </si>
  <si>
    <t>Energy-saving and New Energy Automotive Industry Development Programme</t>
  </si>
  <si>
    <t>New Energy Vehicle (NEV) mandate</t>
  </si>
  <si>
    <t>EV Registration Tax Exemption (unofficial name)</t>
  </si>
  <si>
    <t>VAT Exemption on EVs (unofficial name)</t>
  </si>
  <si>
    <t>No annual road tax (unofficial name)</t>
  </si>
  <si>
    <t>Free municipal parking (unofficial name)</t>
  </si>
  <si>
    <t xml:space="preserve">The zero-emission vehicle (ZEV) standard </t>
  </si>
  <si>
    <t>Roulez Vert Program</t>
  </si>
  <si>
    <t>IREQ electric vehicle working group (unofficial name)</t>
  </si>
  <si>
    <t>Transnova Program</t>
  </si>
  <si>
    <t>NEV_(BEV,PHEV,FCEV)</t>
  </si>
  <si>
    <t>Cluster</t>
  </si>
  <si>
    <t>Green innovators</t>
  </si>
  <si>
    <t>Heavily state-supported transition</t>
  </si>
  <si>
    <t>Starters and Niche Testers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</si>
</sst>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name val="Calibri"/>
      <family val="2"/>
      <scheme val="minor"/>
    </font>
    <font>
      <sz val="10"/>
      <color theme="1"/>
      <name val="Calibri"/>
      <family val="2"/>
      <scheme val="minor"/>
    </font>
    <font>
      <sz val="11"/>
      <color rgb="FF000000"/>
      <name val="Calibri"/>
      <family val="2"/>
      <scheme val="minor"/>
    </font>
    <font>
      <sz val="10"/>
      <color rgb="FF000000"/>
      <name val="Calibri"/>
      <family val="2"/>
      <scheme val="minor"/>
    </font>
    <font>
      <i/>
      <sz val="11"/>
      <color theme="1"/>
      <name val="Calibri"/>
      <family val="2"/>
      <scheme val="minor"/>
    </font>
    <font>
      <sz val="11"/>
      <color theme="6"/>
      <name val="Calibri"/>
      <family val="2"/>
      <scheme val="minor"/>
    </font>
    <font>
      <u/>
      <sz val="11"/>
      <color theme="10"/>
      <name val="Calibri"/>
      <family val="2"/>
      <scheme val="minor"/>
    </font>
    <font>
      <sz val="9"/>
      <color indexed="81"/>
      <name val="Tahoma"/>
      <family val="2"/>
    </font>
    <font>
      <b/>
      <sz val="9"/>
      <color indexed="81"/>
      <name val="Tahoma"/>
      <family val="2"/>
    </font>
  </fonts>
  <fills count="20">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FFFF00"/>
        <bgColor indexed="64"/>
      </patternFill>
    </fill>
    <fill>
      <patternFill patternType="solid">
        <fgColor rgb="FFFF0000"/>
        <bgColor indexed="64"/>
      </patternFill>
    </fill>
    <fill>
      <patternFill patternType="solid">
        <fgColor rgb="FFD9E1F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7" tint="0.79998168889431442"/>
        <bgColor theme="4" tint="0.79998168889431442"/>
      </patternFill>
    </fill>
    <fill>
      <patternFill patternType="solid">
        <fgColor theme="7" tint="0.79998168889431442"/>
        <bgColor indexed="64"/>
      </patternFill>
    </fill>
    <fill>
      <patternFill patternType="solid">
        <fgColor theme="5" tint="-0.249977111117893"/>
        <bgColor theme="4" tint="0.79998168889431442"/>
      </patternFill>
    </fill>
    <fill>
      <patternFill patternType="solid">
        <fgColor rgb="FFC00000"/>
        <bgColor theme="4" tint="0.79998168889431442"/>
      </patternFill>
    </fill>
    <fill>
      <patternFill patternType="solid">
        <fgColor theme="2" tint="-0.249977111117893"/>
        <bgColor indexed="64"/>
      </patternFill>
    </fill>
    <fill>
      <patternFill patternType="solid">
        <fgColor theme="7"/>
        <bgColor indexed="64"/>
      </patternFill>
    </fill>
    <fill>
      <patternFill patternType="solid">
        <fgColor theme="9" tint="0.39997558519241921"/>
        <bgColor theme="4" tint="0.79998168889431442"/>
      </patternFill>
    </fill>
    <fill>
      <patternFill patternType="solid">
        <fgColor theme="9" tint="0.39997558519241921"/>
        <bgColor indexed="64"/>
      </patternFill>
    </fill>
    <fill>
      <patternFill patternType="solid">
        <fgColor theme="2" tint="-9.9978637043366805E-2"/>
        <bgColor indexed="64"/>
      </patternFill>
    </fill>
    <fill>
      <patternFill patternType="solid">
        <fgColor theme="2" tint="-9.9978637043366805E-2"/>
        <bgColor theme="4" tint="0.79998168889431442"/>
      </patternFill>
    </fill>
  </fills>
  <borders count="13">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rgb="FF8EA9DB"/>
      </left>
      <right style="medium">
        <color rgb="FF8EA9DB"/>
      </right>
      <top style="medium">
        <color rgb="FF8EA9DB"/>
      </top>
      <bottom style="medium">
        <color rgb="FF8EA9DB"/>
      </bottom>
      <diagonal/>
    </border>
    <border>
      <left style="medium">
        <color rgb="FF8EA9DB"/>
      </left>
      <right style="medium">
        <color rgb="FF8EA9DB"/>
      </right>
      <top/>
      <bottom style="medium">
        <color rgb="FF8EA9DB"/>
      </bottom>
      <diagonal/>
    </border>
    <border>
      <left style="thin">
        <color indexed="64"/>
      </left>
      <right style="thin">
        <color indexed="64"/>
      </right>
      <top style="thin">
        <color indexed="64"/>
      </top>
      <bottom style="thin">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top/>
      <bottom style="thin">
        <color indexed="64"/>
      </bottom>
      <diagonal/>
    </border>
    <border>
      <left style="thin">
        <color theme="4" tint="0.39997558519241921"/>
      </left>
      <right style="thin">
        <color theme="4" tint="0.39997558519241921"/>
      </right>
      <top/>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s>
  <cellStyleXfs count="2">
    <xf numFmtId="0" fontId="0" fillId="0" borderId="0"/>
    <xf numFmtId="0" fontId="10" fillId="0" borderId="0" applyNumberFormat="0" applyFill="0" applyBorder="0" applyAlignment="0" applyProtection="0"/>
  </cellStyleXfs>
  <cellXfs count="93">
    <xf numFmtId="0" fontId="0" fillId="0" borderId="0" xfId="0"/>
    <xf numFmtId="0" fontId="3" fillId="0" borderId="0" xfId="0" applyFont="1"/>
    <xf numFmtId="0" fontId="0" fillId="5" borderId="0" xfId="0" applyFill="1"/>
    <xf numFmtId="0" fontId="5" fillId="0" borderId="0" xfId="0" applyFont="1" applyAlignment="1">
      <alignment horizontal="left" vertical="top" wrapText="1"/>
    </xf>
    <xf numFmtId="0" fontId="6" fillId="0" borderId="4" xfId="0" applyFont="1" applyBorder="1" applyAlignment="1">
      <alignment vertical="center"/>
    </xf>
    <xf numFmtId="0" fontId="6" fillId="5" borderId="4" xfId="0" applyFont="1" applyFill="1" applyBorder="1" applyAlignment="1">
      <alignment vertical="center"/>
    </xf>
    <xf numFmtId="0" fontId="7" fillId="6" borderId="4" xfId="0" applyFont="1" applyFill="1" applyBorder="1" applyAlignment="1">
      <alignment vertical="center" wrapText="1"/>
    </xf>
    <xf numFmtId="0" fontId="6" fillId="0" borderId="5" xfId="0" applyFont="1" applyBorder="1" applyAlignment="1">
      <alignment vertical="center"/>
    </xf>
    <xf numFmtId="0" fontId="6" fillId="6" borderId="5" xfId="0" applyFont="1" applyFill="1" applyBorder="1" applyAlignment="1">
      <alignment vertical="center"/>
    </xf>
    <xf numFmtId="0" fontId="7" fillId="0" borderId="5" xfId="0" applyFont="1" applyBorder="1" applyAlignment="1">
      <alignment vertical="center" wrapText="1"/>
    </xf>
    <xf numFmtId="0" fontId="7" fillId="6" borderId="5" xfId="0" applyFont="1" applyFill="1" applyBorder="1" applyAlignment="1">
      <alignment vertical="center" wrapText="1"/>
    </xf>
    <xf numFmtId="0" fontId="2" fillId="0" borderId="0" xfId="0" applyFont="1"/>
    <xf numFmtId="0" fontId="0" fillId="4" borderId="0" xfId="0" applyFill="1"/>
    <xf numFmtId="0" fontId="6" fillId="6" borderId="0" xfId="0" applyFont="1" applyFill="1" applyAlignment="1">
      <alignment vertical="center"/>
    </xf>
    <xf numFmtId="0" fontId="4" fillId="0" borderId="0" xfId="0" applyFont="1"/>
    <xf numFmtId="0" fontId="0" fillId="0" borderId="5" xfId="0" applyBorder="1"/>
    <xf numFmtId="0" fontId="0" fillId="0" borderId="0" xfId="0" applyAlignment="1">
      <alignment wrapText="1"/>
    </xf>
    <xf numFmtId="0" fontId="3" fillId="7" borderId="6" xfId="0" applyFont="1" applyFill="1" applyBorder="1"/>
    <xf numFmtId="0" fontId="0" fillId="0" borderId="6" xfId="0" applyBorder="1"/>
    <xf numFmtId="0" fontId="3" fillId="0" borderId="6" xfId="0" applyFont="1" applyBorder="1"/>
    <xf numFmtId="0" fontId="4" fillId="0" borderId="5" xfId="0" applyFont="1" applyBorder="1"/>
    <xf numFmtId="0" fontId="3" fillId="4" borderId="0" xfId="0" applyFont="1" applyFill="1"/>
    <xf numFmtId="0" fontId="0" fillId="4" borderId="0" xfId="0" applyFill="1" applyAlignment="1">
      <alignment horizontal="right"/>
    </xf>
    <xf numFmtId="0" fontId="6" fillId="0" borderId="0" xfId="0" applyFont="1" applyAlignment="1">
      <alignment vertical="center"/>
    </xf>
    <xf numFmtId="0" fontId="0" fillId="3" borderId="7" xfId="0" applyFill="1" applyBorder="1"/>
    <xf numFmtId="0" fontId="0" fillId="0" borderId="7" xfId="0" applyBorder="1"/>
    <xf numFmtId="0" fontId="1" fillId="2" borderId="7" xfId="0" applyFont="1" applyFill="1" applyBorder="1"/>
    <xf numFmtId="0" fontId="0" fillId="0" borderId="9" xfId="0" applyBorder="1"/>
    <xf numFmtId="0" fontId="1" fillId="2" borderId="2" xfId="0" applyFont="1" applyFill="1" applyBorder="1"/>
    <xf numFmtId="0" fontId="0" fillId="3" borderId="1" xfId="0" applyFill="1" applyBorder="1"/>
    <xf numFmtId="2" fontId="0" fillId="3" borderId="2" xfId="0" applyNumberFormat="1" applyFill="1" applyBorder="1"/>
    <xf numFmtId="0" fontId="0" fillId="3" borderId="2" xfId="0" applyFill="1" applyBorder="1"/>
    <xf numFmtId="2" fontId="10" fillId="3" borderId="2" xfId="1" applyNumberFormat="1" applyFill="1" applyBorder="1" applyAlignment="1"/>
    <xf numFmtId="2" fontId="0" fillId="3" borderId="3" xfId="0" applyNumberFormat="1" applyFill="1" applyBorder="1"/>
    <xf numFmtId="0" fontId="0" fillId="0" borderId="1" xfId="0" applyBorder="1"/>
    <xf numFmtId="2" fontId="0" fillId="0" borderId="2" xfId="0" applyNumberFormat="1" applyBorder="1"/>
    <xf numFmtId="0" fontId="0" fillId="0" borderId="2" xfId="0" applyBorder="1"/>
    <xf numFmtId="2" fontId="10" fillId="0" borderId="2" xfId="1" applyNumberFormat="1" applyBorder="1" applyAlignment="1"/>
    <xf numFmtId="2" fontId="0" fillId="0" borderId="3" xfId="0" applyNumberFormat="1" applyBorder="1"/>
    <xf numFmtId="0" fontId="6" fillId="3" borderId="2" xfId="0" applyFont="1" applyFill="1" applyBorder="1"/>
    <xf numFmtId="0" fontId="9" fillId="0" borderId="1" xfId="0" applyFont="1" applyBorder="1"/>
    <xf numFmtId="2" fontId="9" fillId="0" borderId="2" xfId="0" applyNumberFormat="1" applyFont="1" applyBorder="1"/>
    <xf numFmtId="0" fontId="9" fillId="0" borderId="2" xfId="0" applyFont="1" applyBorder="1"/>
    <xf numFmtId="2" fontId="4" fillId="8" borderId="2" xfId="0" applyNumberFormat="1" applyFont="1" applyFill="1" applyBorder="1"/>
    <xf numFmtId="2" fontId="0" fillId="8" borderId="2" xfId="0" applyNumberFormat="1" applyFill="1" applyBorder="1"/>
    <xf numFmtId="2" fontId="0" fillId="10" borderId="2" xfId="0" applyNumberFormat="1" applyFill="1" applyBorder="1"/>
    <xf numFmtId="2" fontId="0" fillId="11" borderId="2" xfId="0" applyNumberFormat="1" applyFill="1" applyBorder="1"/>
    <xf numFmtId="2" fontId="0" fillId="12" borderId="2" xfId="0" applyNumberFormat="1" applyFill="1" applyBorder="1"/>
    <xf numFmtId="2" fontId="2" fillId="11" borderId="2" xfId="0" applyNumberFormat="1" applyFont="1" applyFill="1" applyBorder="1"/>
    <xf numFmtId="2" fontId="0" fillId="13" borderId="2" xfId="0" applyNumberFormat="1" applyFill="1" applyBorder="1"/>
    <xf numFmtId="0" fontId="0" fillId="0" borderId="0" xfId="0" applyAlignment="1">
      <alignment horizontal="right"/>
    </xf>
    <xf numFmtId="1" fontId="0" fillId="0" borderId="8" xfId="0" applyNumberFormat="1" applyBorder="1"/>
    <xf numFmtId="1" fontId="0" fillId="0" borderId="0" xfId="0" applyNumberFormat="1"/>
    <xf numFmtId="0" fontId="0" fillId="0" borderId="0" xfId="0" applyAlignment="1">
      <alignment horizontal="left"/>
    </xf>
    <xf numFmtId="1" fontId="0" fillId="0" borderId="0" xfId="0" applyNumberFormat="1" applyAlignment="1">
      <alignment horizontal="left"/>
    </xf>
    <xf numFmtId="0" fontId="0" fillId="15" borderId="0" xfId="0" applyFill="1"/>
    <xf numFmtId="1" fontId="0" fillId="15" borderId="0" xfId="0" applyNumberFormat="1" applyFill="1" applyAlignment="1">
      <alignment horizontal="left"/>
    </xf>
    <xf numFmtId="0" fontId="0" fillId="0" borderId="10" xfId="0" applyBorder="1"/>
    <xf numFmtId="0" fontId="0" fillId="0" borderId="11" xfId="0" applyBorder="1"/>
    <xf numFmtId="2" fontId="0" fillId="0" borderId="11" xfId="0" applyNumberFormat="1" applyBorder="1"/>
    <xf numFmtId="2" fontId="10" fillId="0" borderId="11" xfId="1" applyNumberFormat="1" applyBorder="1" applyAlignment="1"/>
    <xf numFmtId="2" fontId="0" fillId="0" borderId="12" xfId="0" applyNumberFormat="1" applyBorder="1"/>
    <xf numFmtId="0" fontId="0" fillId="3" borderId="10" xfId="0" applyFill="1" applyBorder="1"/>
    <xf numFmtId="0" fontId="0" fillId="3" borderId="11" xfId="0" applyFill="1" applyBorder="1"/>
    <xf numFmtId="2" fontId="0" fillId="3" borderId="11" xfId="0" applyNumberFormat="1" applyFill="1" applyBorder="1"/>
    <xf numFmtId="2" fontId="10" fillId="3" borderId="11" xfId="1" applyNumberFormat="1" applyFill="1" applyBorder="1" applyAlignment="1"/>
    <xf numFmtId="2" fontId="0" fillId="9" borderId="11" xfId="0" applyNumberFormat="1" applyFill="1" applyBorder="1"/>
    <xf numFmtId="2" fontId="0" fillId="3" borderId="12" xfId="0" applyNumberFormat="1" applyFill="1" applyBorder="1"/>
    <xf numFmtId="0" fontId="1" fillId="2" borderId="0" xfId="0" applyFont="1" applyFill="1"/>
    <xf numFmtId="0" fontId="0" fillId="19" borderId="0" xfId="0" applyFill="1"/>
    <xf numFmtId="2" fontId="0" fillId="19" borderId="0" xfId="0" applyNumberFormat="1" applyFill="1"/>
    <xf numFmtId="2" fontId="10" fillId="19" borderId="0" xfId="1" applyNumberFormat="1" applyFill="1" applyBorder="1" applyAlignment="1"/>
    <xf numFmtId="0" fontId="0" fillId="14" borderId="0" xfId="0" applyFill="1"/>
    <xf numFmtId="2" fontId="0" fillId="19" borderId="0" xfId="0" applyNumberFormat="1" applyFill="1" applyAlignment="1">
      <alignment horizontal="center"/>
    </xf>
    <xf numFmtId="0" fontId="0" fillId="17" borderId="0" xfId="0" applyFill="1"/>
    <xf numFmtId="1" fontId="0" fillId="17" borderId="0" xfId="0" applyNumberFormat="1" applyFill="1" applyAlignment="1">
      <alignment horizontal="left"/>
    </xf>
    <xf numFmtId="0" fontId="0" fillId="18" borderId="0" xfId="0" applyFill="1"/>
    <xf numFmtId="2" fontId="0" fillId="18" borderId="0" xfId="0" applyNumberFormat="1" applyFill="1"/>
    <xf numFmtId="2" fontId="4" fillId="18" borderId="0" xfId="0" applyNumberFormat="1" applyFont="1" applyFill="1"/>
    <xf numFmtId="0" fontId="4" fillId="18" borderId="0" xfId="0" applyFont="1" applyFill="1"/>
    <xf numFmtId="2" fontId="10" fillId="18" borderId="0" xfId="1" applyNumberFormat="1" applyFill="1" applyBorder="1" applyAlignment="1"/>
    <xf numFmtId="2" fontId="2" fillId="18" borderId="0" xfId="0" applyNumberFormat="1" applyFont="1" applyFill="1"/>
    <xf numFmtId="2" fontId="0" fillId="17" borderId="0" xfId="0" applyNumberFormat="1" applyFill="1"/>
    <xf numFmtId="0" fontId="4" fillId="17" borderId="0" xfId="0" applyFont="1" applyFill="1"/>
    <xf numFmtId="2" fontId="6" fillId="17" borderId="0" xfId="0" applyNumberFormat="1" applyFont="1" applyFill="1"/>
    <xf numFmtId="2" fontId="2" fillId="17" borderId="0" xfId="0" applyNumberFormat="1" applyFont="1" applyFill="1"/>
    <xf numFmtId="2" fontId="4" fillId="17" borderId="0" xfId="0" applyNumberFormat="1" applyFont="1" applyFill="1"/>
    <xf numFmtId="1" fontId="0" fillId="18" borderId="0" xfId="0" applyNumberFormat="1" applyFill="1" applyAlignment="1">
      <alignment horizontal="left"/>
    </xf>
    <xf numFmtId="2" fontId="10" fillId="17" borderId="0" xfId="1" applyNumberFormat="1" applyFill="1" applyBorder="1" applyAlignment="1"/>
    <xf numFmtId="0" fontId="0" fillId="16" borderId="0" xfId="0" applyFill="1"/>
    <xf numFmtId="2" fontId="0" fillId="16" borderId="0" xfId="0" applyNumberFormat="1" applyFill="1"/>
    <xf numFmtId="2" fontId="0" fillId="4" borderId="0" xfId="0" applyNumberFormat="1" applyFill="1"/>
    <xf numFmtId="2" fontId="10" fillId="4" borderId="0" xfId="1" applyNumberFormat="1" applyFill="1" applyBorder="1" applyAlignment="1"/>
  </cellXfs>
  <cellStyles count="2">
    <cellStyle name="Hyperlink" xfId="1" builtinId="8"/>
    <cellStyle name="Normal" xfId="0" builtinId="0"/>
  </cellStyles>
  <dxfs count="17">
    <dxf>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rgb="FF000000"/>
        <name val="Calibri"/>
        <family val="2"/>
        <scheme val="minor"/>
      </font>
      <fill>
        <patternFill patternType="solid">
          <fgColor indexed="64"/>
          <bgColor rgb="FFD9E1F2"/>
        </patternFill>
      </fill>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0"/>
        <color theme="1"/>
        <name val="Calibri"/>
        <family val="2"/>
        <scheme val="minor"/>
      </font>
      <alignment horizontal="left" vertical="top" textRotation="0" wrapText="1" indent="0" justifyLastLine="0" shrinkToFit="0" readingOrder="0"/>
    </dxf>
    <dxf>
      <font>
        <b val="0"/>
        <i val="0"/>
        <strike val="0"/>
        <condense val="0"/>
        <extend val="0"/>
        <outline val="0"/>
        <shadow val="0"/>
        <u val="none"/>
        <vertAlign val="baseline"/>
        <sz val="10"/>
        <color theme="1"/>
        <name val="Calibri"/>
        <family val="2"/>
        <scheme val="minor"/>
      </font>
      <alignment horizontal="left" vertical="top" textRotation="0" wrapText="1" indent="0" justifyLastLine="0" shrinkToFit="0" readingOrder="0"/>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4CE30A3-F4CA-473B-8BEF-6C7F0371A28A}" name="Table1" displayName="Table1" ref="B1:B10" totalsRowShown="0" headerRowDxfId="16">
  <autoFilter ref="B1:B10" xr:uid="{FA09748F-4F73-4704-B7A3-F19B1F04B35E}"/>
  <sortState xmlns:xlrd2="http://schemas.microsoft.com/office/spreadsheetml/2017/richdata2" ref="B2:B10">
    <sortCondition ref="B1:B10"/>
  </sortState>
  <tableColumns count="1">
    <tableColumn id="1" xr3:uid="{E98E59DA-C97A-4811-A7D5-ED7CD80724FE}" name="research_metho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B962117-69A5-43D0-8509-550F1A862EAA}" name="Table2" displayName="Table2" ref="D1:D6" totalsRowShown="0" headerRowDxfId="15">
  <autoFilter ref="D1:D6" xr:uid="{90B9A6E5-518D-48AF-9635-477E0C2ABC89}"/>
  <tableColumns count="1">
    <tableColumn id="1" xr3:uid="{15DC9E56-F745-4B2F-86C7-4738891E1F3F}" name="technology_sector"/>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E1A9475-7DD9-4C2D-862A-3BA2FD246B29}" name="Table3" displayName="Table3" ref="E1:E6" totalsRowShown="0" headerRowDxfId="14">
  <autoFilter ref="E1:E6" xr:uid="{E2C88F20-D12C-4D08-A260-4A9F2D5BEFF9}"/>
  <tableColumns count="1">
    <tableColumn id="1" xr3:uid="{6135145E-C0A0-49BD-AA81-A162DCE246BA}" name="subsecto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7C3DFF8-EE3C-42A5-81BD-9B343D3AF4C8}" name="Table4" displayName="Table4" ref="F1:F7" totalsRowShown="0" headerRowDxfId="13">
  <autoFilter ref="F1:F7" xr:uid="{546A00EE-2B03-42F7-8619-B7A18538776F}"/>
  <sortState xmlns:xlrd2="http://schemas.microsoft.com/office/spreadsheetml/2017/richdata2" ref="F2:F6">
    <sortCondition ref="F1:F6"/>
  </sortState>
  <tableColumns count="1">
    <tableColumn id="1" xr3:uid="{34231002-A65E-435C-8E32-CAA6B7DB398E}" name="technology_mitigation_op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696583A-CF94-4A14-87C5-152D3AA2C7FA}" name="Table5" displayName="Table5" ref="G1:G9" totalsRowShown="0" headerRowDxfId="12">
  <autoFilter ref="G1:G9" xr:uid="{1F4E6F98-9F49-41D9-998C-0AE053533E45}"/>
  <tableColumns count="1">
    <tableColumn id="1" xr3:uid="{9026B85E-B361-4836-84E6-2419E4FDF2EE}" name="technology detailed"/>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F57BE60-D67B-4531-8A0D-E3CBCEF7DFEA}" name="Table6" displayName="Table6" ref="L1:M66" totalsRowShown="0" headerRowDxfId="11">
  <autoFilter ref="L1:M66" xr:uid="{DF1FE36D-6441-43E3-8309-0115C2F3D72D}"/>
  <sortState xmlns:xlrd2="http://schemas.microsoft.com/office/spreadsheetml/2017/richdata2" ref="L2:M66">
    <sortCondition ref="L1:L66"/>
  </sortState>
  <tableColumns count="2">
    <tableColumn id="1" xr3:uid="{C87EE895-693D-4358-A11A-161898A4B115}" name="Enabler"/>
    <tableColumn id="2" xr3:uid="{51EE05DE-7764-4900-91EC-6257FFB3D2B8}" name="Detail."/>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36C3DDE-6CA4-48B1-BB91-79A7844EC7B5}" name="Table7" displayName="Table7" ref="N1:N12" totalsRowShown="0" headerRowDxfId="10">
  <autoFilter ref="N1:N12" xr:uid="{D9405877-01D7-4FEA-B13E-DFECA4CF1AE4}"/>
  <sortState xmlns:xlrd2="http://schemas.microsoft.com/office/spreadsheetml/2017/richdata2" ref="N2:N56">
    <sortCondition ref="N1:N56"/>
  </sortState>
  <tableColumns count="1">
    <tableColumn id="1" xr3:uid="{D1B32564-6C8D-495D-804F-F8C4693C9873}" name="Barrier"/>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200F61A-7B51-48FF-9EDD-596941BD7C35}" name="Table8" displayName="Table8" ref="O1:O7" totalsRowShown="0" headerRowDxfId="9" dataDxfId="8">
  <autoFilter ref="O1:O7" xr:uid="{CF439628-F0C2-427C-BFC7-C84F5CB7699A}"/>
  <tableColumns count="1">
    <tableColumn id="1" xr3:uid="{9C0DB59B-C471-4378-A324-AF7F3D60E1C8}" name="Type" dataDxfId="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CAE962-42DF-4D56-86B0-7EBB922D79F9}" name="Table9" displayName="Table9" ref="P1:Q71" totalsRowShown="0" headerRowDxfId="6">
  <autoFilter ref="P1:Q71" xr:uid="{533C96A7-5D4C-420A-8B76-24CD635E4F9C}"/>
  <sortState xmlns:xlrd2="http://schemas.microsoft.com/office/spreadsheetml/2017/richdata2" ref="P2:Q71">
    <sortCondition ref="P1:P71"/>
  </sortState>
  <tableColumns count="2">
    <tableColumn id="1" xr3:uid="{063DD3B3-6AD1-44CA-B173-53564F2F48DF}" name="Entry"/>
    <tableColumn id="2" xr3:uid="{885C6573-2573-443B-A080-D61707BCD57C}" name="detail " dataDxfId="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86280EB-F12A-4E12-A1D7-F9ECABB52C1C}" name="Table10" displayName="Table10" ref="R1:R11" totalsRowShown="0" headerRowDxfId="4">
  <autoFilter ref="R1:R11" xr:uid="{006ADA7C-19E0-4C9C-9FCC-8918E8F1EA3C}"/>
  <tableColumns count="1">
    <tableColumn id="1" xr3:uid="{C2E09D6E-4DFA-46C8-A1BC-2DA5FAF80E57}" name="Entry category"/>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6083EBC-C3C1-4FE5-A60B-4741A18DF809}" name="Table11" displayName="Table11" ref="C1:C26" totalsRowShown="0" headerRowDxfId="3" dataDxfId="2">
  <autoFilter ref="C1:C26" xr:uid="{057ED7E8-E604-4409-94B5-EF05D3CCA2F2}"/>
  <sortState xmlns:xlrd2="http://schemas.microsoft.com/office/spreadsheetml/2017/richdata2" ref="C2:C22">
    <sortCondition ref="C1:C22"/>
  </sortState>
  <tableColumns count="1">
    <tableColumn id="1" xr3:uid="{B6AEB701-4104-44FF-B336-0755E25BDE7F}" name="research_geography" dataDxfId="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486BAF1-95AA-4EE7-83B5-C1F669069FFB}" name="Table12" displayName="Table12" ref="H1:H28" totalsRowShown="0">
  <autoFilter ref="H1:H28" xr:uid="{C0079A1C-6C49-4785-8AF8-6979DC2D9AB4}"/>
  <sortState xmlns:xlrd2="http://schemas.microsoft.com/office/spreadsheetml/2017/richdata2" ref="H2:H19">
    <sortCondition ref="H1:H19"/>
  </sortState>
  <tableColumns count="1">
    <tableColumn id="1" xr3:uid="{52E0084C-E28B-4101-AD99-4FAA9CCC544D}" name="Applicable for what other geographies"/>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C965192-9564-419F-A752-3EC6C4EE51EE}" name="Table15" displayName="Table15" ref="J1:J5" totalsRowShown="0">
  <autoFilter ref="J1:J5" xr:uid="{A6E73CF9-4042-4F05-BB67-B794614949FA}"/>
  <tableColumns count="1">
    <tableColumn id="1" xr3:uid="{DF2F3EDC-2850-4C23-B389-64A025544D27}" name="Proof of deployment"/>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55BCDF2D-5480-4BA2-931B-133E5CF5A805}" name="Table16" displayName="Table16" ref="S1:S9" totalsRowShown="0">
  <autoFilter ref="S1:S9" xr:uid="{FF29F75F-298C-4C3D-9339-2040E4427FC2}"/>
  <tableColumns count="1">
    <tableColumn id="1" xr3:uid="{5BD32B22-43C8-45E3-99B5-A96AC8E4AA9A}" name="Targeted actor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542EB4D-B334-4D20-AF90-F1E9982E941E}" name="Table17" displayName="Table17" ref="T1:T5" totalsRowShown="0">
  <autoFilter ref="T1:T5" xr:uid="{1013FE63-6B50-49E1-84FE-42AB1224766B}"/>
  <tableColumns count="1">
    <tableColumn id="1" xr3:uid="{78AABD1D-1F09-4EB1-B388-ABE6CC353C8C}" name="Actors policymaker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3B80E4E-EADA-40D3-BD68-33AA788F318E}" name="Table18" displayName="Table18" ref="U1:U18" totalsRowShown="0">
  <autoFilter ref="U1:U18" xr:uid="{D332D4EC-0D17-4385-B139-1FBF76D48A1E}"/>
  <sortState xmlns:xlrd2="http://schemas.microsoft.com/office/spreadsheetml/2017/richdata2" ref="U2:U16">
    <sortCondition ref="U1:U16"/>
  </sortState>
  <tableColumns count="1">
    <tableColumn id="1" xr3:uid="{1FB92CAF-C063-4484-8C9E-4494281EB19A}" name="Objectives policymaker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2C20240-0078-422D-84BC-6417E1A7B9FA}" name="Table14" displayName="Table14" ref="V1:V4" totalsRowShown="0">
  <autoFilter ref="V1:V4" xr:uid="{F872C9AA-C73B-4AFB-8950-3C255CBB7896}"/>
  <tableColumns count="1">
    <tableColumn id="1" xr3:uid="{0D150A43-28E3-47FF-8EB6-805D35736AEC}" name="Actors other"/>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9663E69-1EDA-41F1-BEE6-17945CA24EA9}" name="Table19" displayName="Table19" ref="W1:W11" totalsRowShown="0">
  <autoFilter ref="W1:W11" xr:uid="{A4F610F0-FCA2-4795-99B7-708DCB8C1B5B}"/>
  <tableColumns count="1">
    <tableColumn id="1" xr3:uid="{BBC47F4A-CF8B-4A15-9AA4-2EC0A101FCCA}" name="Terminology"/>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DE68A6B-347F-4FD6-8064-0F899FD344AF}" name="Table21" displayName="Table21" ref="X1:X5" totalsRowShown="0" headerRowDxfId="0">
  <autoFilter ref="X1:X5" xr:uid="{5BDC8EFF-7273-4841-B174-2ACE4D0B7941}"/>
  <tableColumns count="1">
    <tableColumn id="1" xr3:uid="{F1FE53FB-44C8-48BB-80F3-26A549765AAF}" name="Policy_re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2F6CC15-7913-481B-A4C4-0BDFD018ECF2}" name="Table22" displayName="Table22" ref="I1:I4" totalsRowShown="0">
  <autoFilter ref="I1:I4" xr:uid="{96E4F512-B759-4042-B091-B6BA075CE5D0}"/>
  <tableColumns count="1">
    <tableColumn id="1" xr3:uid="{A40F2FBF-B4B1-472E-A036-C6ADE8DE1B05}" name="Details_applicability"/>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6A0E708-8137-46DF-BFA8-4F64DE741654}" name="Table20" displayName="Table20" ref="K1:K4" totalsRowShown="0">
  <autoFilter ref="K1:K4" xr:uid="{E325BD79-4AFD-40C7-B362-EC6AE70090EE}"/>
  <tableColumns count="1">
    <tableColumn id="1" xr3:uid="{6AF2EAFF-318C-4A5A-B063-C371D6E93625}" name="Generalization assessment"/>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dx.doi.org/10.1080/09644016.2019.1625145" TargetMode="External"/><Relationship Id="rId13" Type="http://schemas.openxmlformats.org/officeDocument/2006/relationships/hyperlink" Target="http://dx.doi.org/10.3390/en13020475" TargetMode="External"/><Relationship Id="rId3" Type="http://schemas.openxmlformats.org/officeDocument/2006/relationships/hyperlink" Target="http://dx.doi.org/10.1016/j.tranpol.2023.06.007" TargetMode="External"/><Relationship Id="rId7" Type="http://schemas.openxmlformats.org/officeDocument/2006/relationships/hyperlink" Target="http://dx.doi.org/10.1016/j.tranpol.2022.05.007" TargetMode="External"/><Relationship Id="rId12" Type="http://schemas.openxmlformats.org/officeDocument/2006/relationships/hyperlink" Target="http://dx.doi.org/10.1016/j.erss.2023.103196" TargetMode="External"/><Relationship Id="rId17" Type="http://schemas.openxmlformats.org/officeDocument/2006/relationships/comments" Target="../comments1.xml"/><Relationship Id="rId2" Type="http://schemas.openxmlformats.org/officeDocument/2006/relationships/hyperlink" Target="http://dx.doi.org/10.1080/15567036.2023.2228734" TargetMode="External"/><Relationship Id="rId16" Type="http://schemas.openxmlformats.org/officeDocument/2006/relationships/vmlDrawing" Target="../drawings/vmlDrawing1.vml"/><Relationship Id="rId1" Type="http://schemas.openxmlformats.org/officeDocument/2006/relationships/hyperlink" Target="http://dx.doi.org/10.1080/01442872.2020.1718072" TargetMode="External"/><Relationship Id="rId6" Type="http://schemas.openxmlformats.org/officeDocument/2006/relationships/hyperlink" Target="http://dx.doi.org/10.3390/ijerph17030726" TargetMode="External"/><Relationship Id="rId11" Type="http://schemas.openxmlformats.org/officeDocument/2006/relationships/hyperlink" Target="http://dx.doi.org/10.1016/j.enpol.2020.111322" TargetMode="External"/><Relationship Id="rId5" Type="http://schemas.openxmlformats.org/officeDocument/2006/relationships/hyperlink" Target="http://dx.doi.org/10.1016/j.apenergy.2023.120700" TargetMode="External"/><Relationship Id="rId15" Type="http://schemas.openxmlformats.org/officeDocument/2006/relationships/printerSettings" Target="../printerSettings/printerSettings1.bin"/><Relationship Id="rId10" Type="http://schemas.openxmlformats.org/officeDocument/2006/relationships/hyperlink" Target="http://dx.doi.org/10.1016/j.cstp.2015.11.001" TargetMode="External"/><Relationship Id="rId4" Type="http://schemas.openxmlformats.org/officeDocument/2006/relationships/hyperlink" Target="http://dx.doi.org/10.1093/cje/beac056" TargetMode="External"/><Relationship Id="rId9" Type="http://schemas.openxmlformats.org/officeDocument/2006/relationships/hyperlink" Target="http://dx.doi.org/10.1002/sd.2030" TargetMode="External"/><Relationship Id="rId14" Type="http://schemas.openxmlformats.org/officeDocument/2006/relationships/hyperlink" Target="http://dx.doi.org/10.1080/02646811.2017.1262087" TargetMode="External"/></Relationships>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1A6412-EEC3-4347-8D1A-735315661348}">
  <sheetPr codeName="Sheet1" filterMode="1"/>
  <dimension ref="A1:AV62"/>
  <sheetViews>
    <sheetView tabSelected="1" topLeftCell="AK1" zoomScaleNormal="100" workbookViewId="0">
      <pane ySplit="1" topLeftCell="A2" activePane="bottomLeft" state="frozen"/>
      <selection pane="bottomLeft" activeCell="AM2" sqref="AM2"/>
    </sheetView>
  </sheetViews>
  <sheetFormatPr defaultColWidth="60.3828125" defaultRowHeight="14.6" x14ac:dyDescent="0.4"/>
  <cols>
    <col min="1" max="2" width="11.3828125" customWidth="1"/>
    <col min="3" max="4" width="20" customWidth="1"/>
    <col min="5" max="5" width="17.3828125" hidden="1" customWidth="1"/>
    <col min="6" max="6" width="12.3828125" hidden="1" customWidth="1"/>
    <col min="7" max="7" width="110.15234375" customWidth="1"/>
    <col min="8" max="8" width="8.53515625" customWidth="1"/>
    <col min="9" max="9" width="16.15234375" hidden="1" customWidth="1"/>
    <col min="10" max="10" width="12.69140625" hidden="1" customWidth="1"/>
    <col min="11" max="11" width="14.53515625" hidden="1" customWidth="1"/>
    <col min="12" max="12" width="7.84375" hidden="1" customWidth="1"/>
    <col min="13" max="13" width="14.69140625" hidden="1" customWidth="1"/>
    <col min="14" max="14" width="14.3828125" hidden="1" customWidth="1"/>
    <col min="15" max="15" width="22.3828125" hidden="1" customWidth="1"/>
    <col min="16" max="16" width="33.3046875" hidden="1" customWidth="1"/>
    <col min="17" max="17" width="42.3046875" customWidth="1"/>
    <col min="18" max="18" width="21" customWidth="1"/>
    <col min="19" max="20" width="20.53515625" hidden="1" customWidth="1"/>
    <col min="21" max="21" width="29.84375" hidden="1" customWidth="1"/>
    <col min="22" max="22" width="19" customWidth="1"/>
    <col min="23" max="23" width="33.69140625" hidden="1" customWidth="1"/>
    <col min="24" max="24" width="23.53515625" hidden="1" customWidth="1"/>
    <col min="25" max="25" width="22.15234375" customWidth="1"/>
    <col min="26" max="26" width="37.53515625" customWidth="1"/>
    <col min="27" max="27" width="28.69140625" customWidth="1"/>
    <col min="28" max="28" width="37.3828125" customWidth="1"/>
    <col min="29" max="29" width="102.69140625" customWidth="1"/>
    <col min="30" max="30" width="13.53515625" customWidth="1"/>
    <col min="31" max="31" width="22.15234375" customWidth="1"/>
    <col min="32" max="32" width="32.84375" customWidth="1"/>
    <col min="33" max="33" width="121.84375" customWidth="1"/>
    <col min="34" max="34" width="40.3828125" customWidth="1"/>
    <col min="37" max="37" width="26.53515625" customWidth="1"/>
    <col min="38" max="38" width="31.15234375" customWidth="1"/>
    <col min="39" max="39" width="58.3046875" customWidth="1"/>
    <col min="40" max="40" width="15.84375" customWidth="1"/>
    <col min="41" max="41" width="24" customWidth="1"/>
    <col min="42" max="42" width="31.15234375" customWidth="1"/>
    <col min="43" max="43" width="15.69140625" customWidth="1"/>
    <col min="44" max="44" width="12.53515625" customWidth="1"/>
  </cols>
  <sheetData>
    <row r="1" spans="1:48" x14ac:dyDescent="0.4">
      <c r="A1" s="68" t="s">
        <v>0</v>
      </c>
      <c r="B1" s="68" t="s">
        <v>689</v>
      </c>
      <c r="C1" s="68" t="s">
        <v>1</v>
      </c>
      <c r="D1" s="68" t="s">
        <v>720</v>
      </c>
      <c r="E1" s="68" t="s">
        <v>2</v>
      </c>
      <c r="F1" s="68" t="s">
        <v>3</v>
      </c>
      <c r="G1" s="68" t="s">
        <v>4</v>
      </c>
      <c r="H1" s="68" t="s">
        <v>5</v>
      </c>
      <c r="I1" s="68" t="s">
        <v>6</v>
      </c>
      <c r="J1" s="68" t="s">
        <v>7</v>
      </c>
      <c r="K1" s="68" t="s">
        <v>8</v>
      </c>
      <c r="L1" s="68" t="s">
        <v>9</v>
      </c>
      <c r="M1" s="68" t="s">
        <v>10</v>
      </c>
      <c r="N1" s="68" t="s">
        <v>574</v>
      </c>
      <c r="O1" s="68" t="s">
        <v>11</v>
      </c>
      <c r="P1" s="68" t="s">
        <v>12</v>
      </c>
      <c r="Q1" s="68" t="s">
        <v>13</v>
      </c>
      <c r="R1" s="68" t="s">
        <v>14</v>
      </c>
      <c r="S1" s="28" t="s">
        <v>15</v>
      </c>
      <c r="T1" s="28" t="s">
        <v>16</v>
      </c>
      <c r="U1" s="28" t="s">
        <v>17</v>
      </c>
      <c r="V1" s="68" t="s">
        <v>18</v>
      </c>
      <c r="W1" s="28" t="s">
        <v>19</v>
      </c>
      <c r="X1" s="28" t="s">
        <v>20</v>
      </c>
      <c r="Y1" s="68" t="s">
        <v>21</v>
      </c>
      <c r="Z1" s="68" t="s">
        <v>22</v>
      </c>
      <c r="AA1" s="68" t="s">
        <v>23</v>
      </c>
      <c r="AB1" s="68" t="s">
        <v>24</v>
      </c>
      <c r="AC1" s="68" t="s">
        <v>25</v>
      </c>
      <c r="AD1" s="68" t="s">
        <v>26</v>
      </c>
      <c r="AE1" s="68" t="s">
        <v>27</v>
      </c>
      <c r="AF1" s="68" t="s">
        <v>28</v>
      </c>
      <c r="AG1" s="68" t="s">
        <v>29</v>
      </c>
      <c r="AH1" s="68" t="s">
        <v>30</v>
      </c>
      <c r="AI1" s="68" t="s">
        <v>31</v>
      </c>
      <c r="AJ1" s="68" t="s">
        <v>32</v>
      </c>
      <c r="AK1" s="68" t="s">
        <v>33</v>
      </c>
      <c r="AL1" s="68" t="s">
        <v>34</v>
      </c>
      <c r="AM1" s="68" t="s">
        <v>35</v>
      </c>
      <c r="AN1" s="68" t="s">
        <v>36</v>
      </c>
      <c r="AO1" s="68" t="s">
        <v>37</v>
      </c>
      <c r="AP1" s="68" t="s">
        <v>38</v>
      </c>
      <c r="AQ1" s="68" t="s">
        <v>39</v>
      </c>
      <c r="AR1" s="68" t="s">
        <v>40</v>
      </c>
      <c r="AT1" s="72" t="s">
        <v>699</v>
      </c>
      <c r="AU1" s="72" t="s">
        <v>700</v>
      </c>
      <c r="AV1" s="72" t="s">
        <v>701</v>
      </c>
    </row>
    <row r="2" spans="1:48" s="74" customFormat="1" x14ac:dyDescent="0.4">
      <c r="A2" s="74">
        <v>36</v>
      </c>
      <c r="B2" s="74">
        <v>7</v>
      </c>
      <c r="C2" s="82" t="s">
        <v>98</v>
      </c>
      <c r="D2" s="82" t="s">
        <v>721</v>
      </c>
      <c r="E2" s="82" t="s">
        <v>67</v>
      </c>
      <c r="F2" s="82" t="s">
        <v>43</v>
      </c>
      <c r="G2" s="82" t="s">
        <v>99</v>
      </c>
      <c r="H2" s="74">
        <v>2022</v>
      </c>
      <c r="I2" s="82" t="s">
        <v>100</v>
      </c>
      <c r="J2" s="74">
        <v>5399907</v>
      </c>
      <c r="K2" s="82" t="s">
        <v>101</v>
      </c>
      <c r="L2" s="82" t="s">
        <v>102</v>
      </c>
      <c r="M2" s="82" t="s">
        <v>48</v>
      </c>
      <c r="N2" s="82" t="s">
        <v>610</v>
      </c>
      <c r="O2" s="82" t="s">
        <v>148</v>
      </c>
      <c r="P2" s="82" t="s">
        <v>575</v>
      </c>
      <c r="Q2" s="82" t="s">
        <v>162</v>
      </c>
      <c r="R2" s="83" t="s">
        <v>705</v>
      </c>
      <c r="S2" s="46" t="s">
        <v>81</v>
      </c>
      <c r="T2" s="46" t="s">
        <v>82</v>
      </c>
      <c r="U2" s="48" t="s">
        <v>83</v>
      </c>
      <c r="V2" s="85" t="s">
        <v>577</v>
      </c>
      <c r="W2" s="46"/>
      <c r="X2" s="46"/>
      <c r="Y2" s="82" t="s">
        <v>238</v>
      </c>
      <c r="Z2" s="82" t="s">
        <v>693</v>
      </c>
      <c r="AA2" s="86" t="s">
        <v>602</v>
      </c>
      <c r="AB2" s="82" t="s">
        <v>598</v>
      </c>
      <c r="AC2" s="82" t="s">
        <v>691</v>
      </c>
      <c r="AD2" s="82"/>
      <c r="AE2" s="82"/>
      <c r="AF2" s="82" t="s">
        <v>592</v>
      </c>
      <c r="AG2" s="82" t="s">
        <v>692</v>
      </c>
      <c r="AH2" s="82" t="s">
        <v>591</v>
      </c>
      <c r="AI2" s="82"/>
      <c r="AJ2" s="82" t="s">
        <v>595</v>
      </c>
      <c r="AK2" s="82" t="s">
        <v>154</v>
      </c>
      <c r="AL2" s="82" t="s">
        <v>589</v>
      </c>
      <c r="AM2" s="82" t="s">
        <v>279</v>
      </c>
      <c r="AN2" s="82" t="s">
        <v>297</v>
      </c>
      <c r="AO2" s="82" t="s">
        <v>609</v>
      </c>
      <c r="AP2" s="82" t="s">
        <v>579</v>
      </c>
      <c r="AQ2" s="82"/>
      <c r="AR2" s="82"/>
      <c r="AT2" s="74" t="s">
        <v>576</v>
      </c>
      <c r="AU2" s="74" t="s">
        <v>717</v>
      </c>
      <c r="AV2" s="75">
        <v>1973</v>
      </c>
    </row>
    <row r="3" spans="1:48" hidden="1" x14ac:dyDescent="0.4">
      <c r="A3" s="57">
        <v>13</v>
      </c>
      <c r="B3" s="58"/>
      <c r="C3" s="59" t="s">
        <v>49</v>
      </c>
      <c r="D3" s="59"/>
      <c r="E3" s="59" t="s">
        <v>50</v>
      </c>
      <c r="F3" s="59" t="s">
        <v>43</v>
      </c>
      <c r="G3" s="59" t="s">
        <v>51</v>
      </c>
      <c r="H3" s="58">
        <v>2023</v>
      </c>
      <c r="I3" s="59" t="s">
        <v>52</v>
      </c>
      <c r="J3" s="58">
        <v>5828038</v>
      </c>
      <c r="K3" s="60" t="s">
        <v>53</v>
      </c>
      <c r="L3" s="59" t="s">
        <v>54</v>
      </c>
      <c r="M3" s="59" t="s">
        <v>48</v>
      </c>
      <c r="N3" s="59" t="s">
        <v>615</v>
      </c>
      <c r="O3" s="59"/>
      <c r="P3" s="59"/>
      <c r="Q3" s="59"/>
      <c r="R3" s="58"/>
      <c r="S3" s="35"/>
      <c r="T3" s="35"/>
      <c r="U3" s="35"/>
      <c r="V3" s="59"/>
      <c r="W3" s="35"/>
      <c r="X3" s="35"/>
      <c r="Y3" s="59"/>
      <c r="Z3" s="59"/>
      <c r="AA3" s="59"/>
      <c r="AB3" s="59"/>
      <c r="AC3" s="59"/>
      <c r="AD3" s="59"/>
      <c r="AE3" s="59"/>
      <c r="AF3" s="59"/>
      <c r="AG3" s="59"/>
      <c r="AH3" s="59"/>
      <c r="AI3" s="59"/>
      <c r="AJ3" s="59"/>
      <c r="AK3" s="59"/>
      <c r="AL3" s="59"/>
      <c r="AM3" s="59"/>
      <c r="AN3" s="59"/>
      <c r="AO3" s="59"/>
      <c r="AP3" s="59"/>
      <c r="AQ3" s="59"/>
      <c r="AR3" s="61"/>
      <c r="AT3" s="55" t="s">
        <v>162</v>
      </c>
      <c r="AU3" s="55" t="s">
        <v>707</v>
      </c>
      <c r="AV3" s="56">
        <v>1990</v>
      </c>
    </row>
    <row r="4" spans="1:48" hidden="1" x14ac:dyDescent="0.4">
      <c r="A4" s="29">
        <v>14</v>
      </c>
      <c r="B4" s="31"/>
      <c r="C4" s="30" t="s">
        <v>55</v>
      </c>
      <c r="D4" s="30"/>
      <c r="E4" s="30" t="s">
        <v>56</v>
      </c>
      <c r="F4" s="30" t="s">
        <v>43</v>
      </c>
      <c r="G4" s="30" t="s">
        <v>57</v>
      </c>
      <c r="H4" s="39">
        <v>2023</v>
      </c>
      <c r="I4" s="30" t="s">
        <v>58</v>
      </c>
      <c r="J4" s="31">
        <v>5852125</v>
      </c>
      <c r="K4" s="30" t="s">
        <v>59</v>
      </c>
      <c r="L4" s="30" t="s">
        <v>60</v>
      </c>
      <c r="M4" s="30" t="s">
        <v>48</v>
      </c>
      <c r="N4" s="30" t="s">
        <v>615</v>
      </c>
      <c r="O4" s="30"/>
      <c r="P4" s="30"/>
      <c r="Q4" s="30"/>
      <c r="R4" s="31"/>
      <c r="S4" s="30"/>
      <c r="T4" s="30"/>
      <c r="U4" s="30"/>
      <c r="V4" s="30"/>
      <c r="W4" s="30"/>
      <c r="X4" s="30"/>
      <c r="Y4" s="30"/>
      <c r="Z4" s="30"/>
      <c r="AA4" s="30"/>
      <c r="AB4" s="30"/>
      <c r="AC4" s="30"/>
      <c r="AD4" s="30"/>
      <c r="AE4" s="30"/>
      <c r="AF4" s="30"/>
      <c r="AG4" s="30"/>
      <c r="AH4" s="30"/>
      <c r="AI4" s="30"/>
      <c r="AJ4" s="30"/>
      <c r="AK4" s="30"/>
      <c r="AL4" s="30"/>
      <c r="AM4" s="30"/>
      <c r="AN4" s="30"/>
      <c r="AO4" s="30"/>
      <c r="AP4" s="30"/>
      <c r="AQ4" s="30"/>
      <c r="AR4" s="33"/>
      <c r="AT4" s="55" t="s">
        <v>149</v>
      </c>
      <c r="AU4" s="55" t="s">
        <v>711</v>
      </c>
      <c r="AV4" s="56">
        <v>1990</v>
      </c>
    </row>
    <row r="5" spans="1:48" hidden="1" x14ac:dyDescent="0.4">
      <c r="A5" s="34">
        <v>17</v>
      </c>
      <c r="B5" s="36"/>
      <c r="C5" s="35" t="s">
        <v>61</v>
      </c>
      <c r="D5" s="35"/>
      <c r="E5" s="35" t="s">
        <v>50</v>
      </c>
      <c r="F5" s="35" t="s">
        <v>43</v>
      </c>
      <c r="G5" s="35" t="s">
        <v>62</v>
      </c>
      <c r="H5" s="36">
        <v>2023</v>
      </c>
      <c r="I5" s="35" t="s">
        <v>63</v>
      </c>
      <c r="J5" s="36">
        <v>5867408</v>
      </c>
      <c r="K5" s="37" t="s">
        <v>64</v>
      </c>
      <c r="L5" s="35" t="s">
        <v>65</v>
      </c>
      <c r="M5" s="35" t="s">
        <v>48</v>
      </c>
      <c r="N5" s="35" t="s">
        <v>615</v>
      </c>
      <c r="O5" s="35"/>
      <c r="P5" s="35"/>
      <c r="Q5" s="35"/>
      <c r="R5" s="36"/>
      <c r="S5" s="35"/>
      <c r="T5" s="35"/>
      <c r="U5" s="35"/>
      <c r="V5" s="35"/>
      <c r="W5" s="35"/>
      <c r="X5" s="35"/>
      <c r="Y5" s="35"/>
      <c r="Z5" s="35"/>
      <c r="AA5" s="35"/>
      <c r="AB5" s="35"/>
      <c r="AC5" s="35"/>
      <c r="AD5" s="35"/>
      <c r="AE5" s="35"/>
      <c r="AF5" s="35"/>
      <c r="AG5" s="35"/>
      <c r="AH5" s="35"/>
      <c r="AI5" s="35"/>
      <c r="AJ5" s="35"/>
      <c r="AK5" s="35"/>
      <c r="AL5" s="35"/>
      <c r="AM5" s="35"/>
      <c r="AN5" s="35"/>
      <c r="AO5" s="35"/>
      <c r="AP5" s="35"/>
      <c r="AQ5" s="35"/>
      <c r="AR5" s="38"/>
      <c r="AT5" t="s">
        <v>149</v>
      </c>
      <c r="AU5" t="s">
        <v>713</v>
      </c>
      <c r="AV5" s="54">
        <v>1996</v>
      </c>
    </row>
    <row r="6" spans="1:48" hidden="1" x14ac:dyDescent="0.4">
      <c r="A6" s="29">
        <v>20</v>
      </c>
      <c r="B6" s="31"/>
      <c r="C6" s="30" t="s">
        <v>66</v>
      </c>
      <c r="D6" s="30"/>
      <c r="E6" s="30" t="s">
        <v>67</v>
      </c>
      <c r="F6" s="30" t="s">
        <v>43</v>
      </c>
      <c r="G6" s="30" t="s">
        <v>68</v>
      </c>
      <c r="H6" s="31">
        <v>2023</v>
      </c>
      <c r="I6" s="30" t="s">
        <v>69</v>
      </c>
      <c r="J6" s="31">
        <v>5867643</v>
      </c>
      <c r="K6" s="32" t="s">
        <v>70</v>
      </c>
      <c r="L6" s="30" t="s">
        <v>71</v>
      </c>
      <c r="M6" s="30" t="s">
        <v>72</v>
      </c>
      <c r="N6" s="30" t="s">
        <v>615</v>
      </c>
      <c r="O6" s="30"/>
      <c r="P6" s="30"/>
      <c r="Q6" s="30"/>
      <c r="R6" s="31"/>
      <c r="S6" s="30"/>
      <c r="T6" s="30"/>
      <c r="U6" s="30"/>
      <c r="V6" s="30"/>
      <c r="W6" s="30"/>
      <c r="X6" s="30"/>
      <c r="Y6" s="30"/>
      <c r="Z6" s="30"/>
      <c r="AA6" s="30"/>
      <c r="AB6" s="30"/>
      <c r="AC6" s="30"/>
      <c r="AD6" s="30"/>
      <c r="AE6" s="30"/>
      <c r="AF6" s="30"/>
      <c r="AG6" s="30"/>
      <c r="AH6" s="30"/>
      <c r="AI6" s="30"/>
      <c r="AJ6" s="30"/>
      <c r="AK6" s="30"/>
      <c r="AL6" s="30"/>
      <c r="AM6" s="30"/>
      <c r="AN6" s="30"/>
      <c r="AO6" s="30"/>
      <c r="AP6" s="30"/>
      <c r="AQ6" s="30"/>
      <c r="AR6" s="33"/>
      <c r="AT6" t="s">
        <v>149</v>
      </c>
      <c r="AU6" t="s">
        <v>714</v>
      </c>
      <c r="AV6" s="54">
        <v>1999</v>
      </c>
    </row>
    <row r="7" spans="1:48" s="74" customFormat="1" x14ac:dyDescent="0.4">
      <c r="A7" s="74">
        <v>36</v>
      </c>
      <c r="B7" s="74">
        <v>5</v>
      </c>
      <c r="C7" s="82" t="s">
        <v>98</v>
      </c>
      <c r="D7" s="82" t="s">
        <v>721</v>
      </c>
      <c r="E7" s="82" t="s">
        <v>67</v>
      </c>
      <c r="F7" s="82" t="s">
        <v>43</v>
      </c>
      <c r="G7" s="82" t="s">
        <v>99</v>
      </c>
      <c r="H7" s="74">
        <v>2022</v>
      </c>
      <c r="I7" s="82" t="s">
        <v>100</v>
      </c>
      <c r="J7" s="74">
        <v>5399907</v>
      </c>
      <c r="K7" s="82" t="s">
        <v>101</v>
      </c>
      <c r="L7" s="82" t="s">
        <v>102</v>
      </c>
      <c r="M7" s="82" t="s">
        <v>48</v>
      </c>
      <c r="N7" s="82" t="s">
        <v>610</v>
      </c>
      <c r="O7" s="82" t="s">
        <v>148</v>
      </c>
      <c r="P7" s="82" t="s">
        <v>575</v>
      </c>
      <c r="Q7" s="82" t="s">
        <v>149</v>
      </c>
      <c r="R7" s="83" t="s">
        <v>705</v>
      </c>
      <c r="S7" s="46" t="s">
        <v>81</v>
      </c>
      <c r="T7" s="46" t="s">
        <v>82</v>
      </c>
      <c r="U7" s="46" t="s">
        <v>83</v>
      </c>
      <c r="V7" s="82" t="s">
        <v>577</v>
      </c>
      <c r="W7" s="46"/>
      <c r="X7" s="46"/>
      <c r="Y7" s="82" t="s">
        <v>238</v>
      </c>
      <c r="Z7" s="82" t="s">
        <v>694</v>
      </c>
      <c r="AA7" s="86" t="s">
        <v>602</v>
      </c>
      <c r="AB7" s="82" t="s">
        <v>601</v>
      </c>
      <c r="AC7" s="82" t="s">
        <v>670</v>
      </c>
      <c r="AD7" s="82"/>
      <c r="AE7" s="82"/>
      <c r="AF7" s="82" t="s">
        <v>674</v>
      </c>
      <c r="AG7" s="82" t="s">
        <v>673</v>
      </c>
      <c r="AH7" s="82"/>
      <c r="AI7" s="82"/>
      <c r="AJ7" s="82" t="s">
        <v>593</v>
      </c>
      <c r="AK7" s="82" t="s">
        <v>154</v>
      </c>
      <c r="AL7" s="82" t="s">
        <v>155</v>
      </c>
      <c r="AM7" s="82" t="s">
        <v>578</v>
      </c>
      <c r="AN7" s="82" t="s">
        <v>297</v>
      </c>
      <c r="AO7" s="82" t="s">
        <v>609</v>
      </c>
      <c r="AP7" s="82" t="s">
        <v>579</v>
      </c>
      <c r="AQ7" s="82"/>
      <c r="AR7" s="82"/>
      <c r="AT7" s="74" t="s">
        <v>149</v>
      </c>
      <c r="AU7" s="74" t="s">
        <v>712</v>
      </c>
      <c r="AV7" s="75">
        <v>2001</v>
      </c>
    </row>
    <row r="8" spans="1:48" s="74" customFormat="1" x14ac:dyDescent="0.4">
      <c r="A8" s="74">
        <v>36</v>
      </c>
      <c r="B8" s="74">
        <v>6</v>
      </c>
      <c r="C8" s="82" t="s">
        <v>98</v>
      </c>
      <c r="D8" s="82" t="s">
        <v>721</v>
      </c>
      <c r="E8" s="82" t="s">
        <v>67</v>
      </c>
      <c r="F8" s="82" t="s">
        <v>43</v>
      </c>
      <c r="G8" s="82" t="s">
        <v>99</v>
      </c>
      <c r="H8" s="74">
        <v>2022</v>
      </c>
      <c r="I8" s="82" t="s">
        <v>100</v>
      </c>
      <c r="J8" s="74">
        <v>5399907</v>
      </c>
      <c r="K8" s="82" t="s">
        <v>101</v>
      </c>
      <c r="L8" s="82" t="s">
        <v>102</v>
      </c>
      <c r="M8" s="82" t="s">
        <v>48</v>
      </c>
      <c r="N8" s="84" t="s">
        <v>610</v>
      </c>
      <c r="O8" s="82" t="s">
        <v>148</v>
      </c>
      <c r="P8" s="82" t="s">
        <v>575</v>
      </c>
      <c r="Q8" s="82" t="s">
        <v>576</v>
      </c>
      <c r="R8" s="83" t="s">
        <v>705</v>
      </c>
      <c r="S8" s="46" t="s">
        <v>81</v>
      </c>
      <c r="T8" s="46" t="s">
        <v>82</v>
      </c>
      <c r="U8" s="46" t="s">
        <v>83</v>
      </c>
      <c r="V8" s="82" t="s">
        <v>577</v>
      </c>
      <c r="W8" s="46"/>
      <c r="X8" s="46"/>
      <c r="Y8" s="82" t="s">
        <v>238</v>
      </c>
      <c r="Z8" s="82" t="s">
        <v>695</v>
      </c>
      <c r="AA8" s="86" t="s">
        <v>602</v>
      </c>
      <c r="AB8" s="82" t="s">
        <v>582</v>
      </c>
      <c r="AC8" s="82" t="s">
        <v>584</v>
      </c>
      <c r="AD8" s="82"/>
      <c r="AE8" s="82"/>
      <c r="AF8" s="82" t="s">
        <v>607</v>
      </c>
      <c r="AG8" s="82" t="s">
        <v>588</v>
      </c>
      <c r="AH8" s="82"/>
      <c r="AI8" s="82"/>
      <c r="AJ8" s="82" t="s">
        <v>594</v>
      </c>
      <c r="AK8" s="82" t="s">
        <v>192</v>
      </c>
      <c r="AL8" s="82" t="s">
        <v>589</v>
      </c>
      <c r="AM8" s="82" t="s">
        <v>590</v>
      </c>
      <c r="AN8" s="82" t="s">
        <v>297</v>
      </c>
      <c r="AO8" s="82" t="s">
        <v>609</v>
      </c>
      <c r="AP8" s="82" t="s">
        <v>579</v>
      </c>
      <c r="AQ8" s="82"/>
      <c r="AR8" s="82"/>
      <c r="AT8" s="74" t="s">
        <v>162</v>
      </c>
      <c r="AU8" s="74" t="s">
        <v>703</v>
      </c>
      <c r="AV8" s="75">
        <v>2007</v>
      </c>
    </row>
    <row r="9" spans="1:48" s="74" customFormat="1" x14ac:dyDescent="0.4">
      <c r="A9" s="74">
        <v>98</v>
      </c>
      <c r="B9" s="74">
        <v>9</v>
      </c>
      <c r="C9" s="82" t="s">
        <v>143</v>
      </c>
      <c r="D9" s="82" t="s">
        <v>721</v>
      </c>
      <c r="E9" s="82" t="s">
        <v>50</v>
      </c>
      <c r="F9" s="82" t="s">
        <v>43</v>
      </c>
      <c r="G9" s="82" t="s">
        <v>144</v>
      </c>
      <c r="H9" s="74">
        <v>2020</v>
      </c>
      <c r="I9" s="82" t="s">
        <v>145</v>
      </c>
      <c r="J9" s="74">
        <v>3851340</v>
      </c>
      <c r="K9" s="88" t="s">
        <v>146</v>
      </c>
      <c r="L9" s="82" t="s">
        <v>147</v>
      </c>
      <c r="M9" s="82" t="s">
        <v>48</v>
      </c>
      <c r="N9" s="82" t="s">
        <v>613</v>
      </c>
      <c r="O9" s="82" t="s">
        <v>148</v>
      </c>
      <c r="P9" s="82"/>
      <c r="Q9" s="82" t="s">
        <v>149</v>
      </c>
      <c r="R9" s="74" t="s">
        <v>150</v>
      </c>
      <c r="S9" s="44" t="s">
        <v>81</v>
      </c>
      <c r="T9" s="44" t="s">
        <v>82</v>
      </c>
      <c r="U9" s="44" t="s">
        <v>83</v>
      </c>
      <c r="V9" s="82" t="s">
        <v>134</v>
      </c>
      <c r="W9" s="43" t="s">
        <v>652</v>
      </c>
      <c r="X9" s="44" t="s">
        <v>237</v>
      </c>
      <c r="Y9" s="82" t="s">
        <v>238</v>
      </c>
      <c r="Z9" s="82" t="s">
        <v>151</v>
      </c>
      <c r="AA9" s="82" t="s">
        <v>602</v>
      </c>
      <c r="AB9" s="82" t="s">
        <v>657</v>
      </c>
      <c r="AC9" s="82" t="s">
        <v>686</v>
      </c>
      <c r="AD9" s="82" t="s">
        <v>152</v>
      </c>
      <c r="AE9" s="82"/>
      <c r="AF9" s="82" t="s">
        <v>662</v>
      </c>
      <c r="AG9" s="82" t="s">
        <v>677</v>
      </c>
      <c r="AH9" s="82"/>
      <c r="AI9" s="82"/>
      <c r="AJ9" s="82" t="s">
        <v>153</v>
      </c>
      <c r="AK9" s="82" t="s">
        <v>154</v>
      </c>
      <c r="AL9" s="82" t="s">
        <v>155</v>
      </c>
      <c r="AM9" s="82" t="s">
        <v>156</v>
      </c>
      <c r="AN9" s="82"/>
      <c r="AO9" s="82" t="s">
        <v>651</v>
      </c>
      <c r="AP9" s="82" t="s">
        <v>92</v>
      </c>
      <c r="AQ9" s="82"/>
      <c r="AR9" s="82"/>
      <c r="AT9" s="74" t="s">
        <v>162</v>
      </c>
      <c r="AU9" s="74" t="s">
        <v>702</v>
      </c>
      <c r="AV9" s="75">
        <v>2009</v>
      </c>
    </row>
    <row r="10" spans="1:48" hidden="1" x14ac:dyDescent="0.4">
      <c r="A10" s="62">
        <v>28</v>
      </c>
      <c r="B10" s="63"/>
      <c r="C10" s="64" t="s">
        <v>93</v>
      </c>
      <c r="D10" s="64"/>
      <c r="E10" s="64" t="s">
        <v>50</v>
      </c>
      <c r="F10" s="64" t="s">
        <v>43</v>
      </c>
      <c r="G10" s="64" t="s">
        <v>94</v>
      </c>
      <c r="H10" s="63">
        <v>2022</v>
      </c>
      <c r="I10" s="64" t="s">
        <v>95</v>
      </c>
      <c r="J10" s="63">
        <v>3284672</v>
      </c>
      <c r="K10" s="65" t="s">
        <v>96</v>
      </c>
      <c r="L10" s="64" t="s">
        <v>97</v>
      </c>
      <c r="M10" s="64" t="s">
        <v>72</v>
      </c>
      <c r="N10" s="64" t="s">
        <v>615</v>
      </c>
      <c r="O10" s="64"/>
      <c r="P10" s="64"/>
      <c r="Q10" s="64"/>
      <c r="R10" s="63"/>
      <c r="S10" s="30"/>
      <c r="T10" s="30"/>
      <c r="U10" s="30"/>
      <c r="V10" s="64"/>
      <c r="W10" s="30"/>
      <c r="X10" s="30"/>
      <c r="Y10" s="64"/>
      <c r="Z10" s="64"/>
      <c r="AA10" s="64"/>
      <c r="AB10" s="64"/>
      <c r="AC10" s="64"/>
      <c r="AD10" s="64"/>
      <c r="AE10" s="64"/>
      <c r="AF10" s="64"/>
      <c r="AG10" s="64"/>
      <c r="AH10" s="64"/>
      <c r="AI10" s="64"/>
      <c r="AK10" s="64"/>
      <c r="AL10" s="64"/>
      <c r="AM10" s="64"/>
      <c r="AN10" s="64"/>
      <c r="AO10" s="66"/>
      <c r="AP10" s="66"/>
      <c r="AQ10" s="64"/>
      <c r="AR10" s="67"/>
      <c r="AT10" s="55" t="s">
        <v>132</v>
      </c>
      <c r="AU10" s="55" t="s">
        <v>708</v>
      </c>
      <c r="AV10" s="56">
        <v>2009</v>
      </c>
    </row>
    <row r="11" spans="1:48" s="74" customFormat="1" ht="15" customHeight="1" x14ac:dyDescent="0.4">
      <c r="A11" s="89">
        <v>99</v>
      </c>
      <c r="B11" s="89">
        <v>10</v>
      </c>
      <c r="C11" s="90" t="s">
        <v>157</v>
      </c>
      <c r="D11" s="90" t="s">
        <v>721</v>
      </c>
      <c r="E11" s="90" t="s">
        <v>50</v>
      </c>
      <c r="F11" s="90" t="s">
        <v>43</v>
      </c>
      <c r="G11" s="90" t="s">
        <v>158</v>
      </c>
      <c r="H11" s="89">
        <v>2020</v>
      </c>
      <c r="I11" s="90" t="s">
        <v>159</v>
      </c>
      <c r="J11" s="89">
        <v>4153797</v>
      </c>
      <c r="K11" s="90" t="s">
        <v>160</v>
      </c>
      <c r="L11" s="90" t="s">
        <v>161</v>
      </c>
      <c r="M11" s="90" t="s">
        <v>72</v>
      </c>
      <c r="N11" s="90" t="s">
        <v>613</v>
      </c>
      <c r="O11" s="90" t="s">
        <v>148</v>
      </c>
      <c r="P11" s="90"/>
      <c r="Q11" s="90" t="s">
        <v>162</v>
      </c>
      <c r="R11" s="89" t="s">
        <v>163</v>
      </c>
      <c r="S11" s="47" t="s">
        <v>81</v>
      </c>
      <c r="T11" s="47" t="s">
        <v>82</v>
      </c>
      <c r="U11" s="47" t="s">
        <v>164</v>
      </c>
      <c r="V11" s="90" t="s">
        <v>165</v>
      </c>
      <c r="W11" s="47"/>
      <c r="X11" s="47"/>
      <c r="Y11" s="90" t="s">
        <v>272</v>
      </c>
      <c r="Z11" s="90" t="s">
        <v>653</v>
      </c>
      <c r="AA11" s="82" t="s">
        <v>602</v>
      </c>
      <c r="AB11" s="90" t="s">
        <v>671</v>
      </c>
      <c r="AC11" s="90" t="s">
        <v>687</v>
      </c>
      <c r="AD11" s="90" t="s">
        <v>166</v>
      </c>
      <c r="AE11" s="90" t="s">
        <v>167</v>
      </c>
      <c r="AF11" s="90" t="s">
        <v>663</v>
      </c>
      <c r="AG11" s="90" t="s">
        <v>678</v>
      </c>
      <c r="AH11" s="90" t="s">
        <v>168</v>
      </c>
      <c r="AI11" s="90"/>
      <c r="AJ11" s="90" t="s">
        <v>659</v>
      </c>
      <c r="AK11" s="90" t="s">
        <v>169</v>
      </c>
      <c r="AL11" s="90" t="s">
        <v>589</v>
      </c>
      <c r="AM11" s="90" t="s">
        <v>170</v>
      </c>
      <c r="AN11" s="90"/>
      <c r="AO11" s="90" t="s">
        <v>171</v>
      </c>
      <c r="AP11" s="90" t="s">
        <v>92</v>
      </c>
      <c r="AQ11" s="90"/>
      <c r="AR11" s="90"/>
      <c r="AT11" s="74" t="s">
        <v>149</v>
      </c>
      <c r="AU11" s="74" t="s">
        <v>718</v>
      </c>
      <c r="AV11" s="75">
        <v>2009</v>
      </c>
    </row>
    <row r="12" spans="1:48" s="74" customFormat="1" x14ac:dyDescent="0.4">
      <c r="A12" s="74">
        <v>154</v>
      </c>
      <c r="B12" s="74">
        <v>12</v>
      </c>
      <c r="C12" s="82" t="s">
        <v>212</v>
      </c>
      <c r="D12" s="82" t="s">
        <v>721</v>
      </c>
      <c r="E12" s="82" t="s">
        <v>50</v>
      </c>
      <c r="F12" s="82" t="s">
        <v>43</v>
      </c>
      <c r="G12" s="82" t="s">
        <v>213</v>
      </c>
      <c r="H12" s="74">
        <v>2017</v>
      </c>
      <c r="I12" s="82" t="s">
        <v>214</v>
      </c>
      <c r="J12" s="74">
        <v>853637</v>
      </c>
      <c r="K12" s="88" t="s">
        <v>215</v>
      </c>
      <c r="L12" s="82" t="s">
        <v>216</v>
      </c>
      <c r="M12" s="82" t="s">
        <v>48</v>
      </c>
      <c r="N12" s="82" t="s">
        <v>613</v>
      </c>
      <c r="O12" s="82" t="s">
        <v>148</v>
      </c>
      <c r="P12" s="82"/>
      <c r="Q12" s="82" t="s">
        <v>149</v>
      </c>
      <c r="R12" s="74" t="s">
        <v>217</v>
      </c>
      <c r="S12" s="44" t="s">
        <v>81</v>
      </c>
      <c r="T12" s="44" t="s">
        <v>82</v>
      </c>
      <c r="U12" s="44" t="s">
        <v>83</v>
      </c>
      <c r="V12" s="82" t="s">
        <v>134</v>
      </c>
      <c r="W12" s="44" t="s">
        <v>218</v>
      </c>
      <c r="X12" s="44" t="s">
        <v>288</v>
      </c>
      <c r="Y12" s="82" t="s">
        <v>272</v>
      </c>
      <c r="Z12" s="82" t="s">
        <v>654</v>
      </c>
      <c r="AA12" s="82" t="s">
        <v>602</v>
      </c>
      <c r="AB12" s="82" t="s">
        <v>219</v>
      </c>
      <c r="AC12" s="82" t="s">
        <v>658</v>
      </c>
      <c r="AD12" s="82" t="s">
        <v>220</v>
      </c>
      <c r="AE12" s="82" t="s">
        <v>221</v>
      </c>
      <c r="AF12" s="82" t="s">
        <v>665</v>
      </c>
      <c r="AG12" s="82" t="s">
        <v>680</v>
      </c>
      <c r="AH12" s="82"/>
      <c r="AI12" s="82"/>
      <c r="AJ12" s="82" t="s">
        <v>222</v>
      </c>
      <c r="AK12" s="82" t="s">
        <v>154</v>
      </c>
      <c r="AL12" s="82" t="s">
        <v>155</v>
      </c>
      <c r="AM12" s="82"/>
      <c r="AN12" s="82"/>
      <c r="AO12" s="82" t="s">
        <v>666</v>
      </c>
      <c r="AP12" s="82" t="s">
        <v>92</v>
      </c>
      <c r="AQ12" s="82"/>
      <c r="AR12" s="82"/>
      <c r="AT12" s="74" t="s">
        <v>234</v>
      </c>
      <c r="AU12" s="74" t="s">
        <v>704</v>
      </c>
      <c r="AV12" s="75">
        <v>2011</v>
      </c>
    </row>
    <row r="13" spans="1:48" s="76" customFormat="1" x14ac:dyDescent="0.4">
      <c r="A13" s="69">
        <v>1</v>
      </c>
      <c r="B13" s="69">
        <v>1</v>
      </c>
      <c r="C13" s="70" t="s">
        <v>41</v>
      </c>
      <c r="D13" s="70" t="s">
        <v>722</v>
      </c>
      <c r="E13" s="70" t="s">
        <v>42</v>
      </c>
      <c r="F13" s="70" t="s">
        <v>43</v>
      </c>
      <c r="G13" s="70" t="s">
        <v>44</v>
      </c>
      <c r="H13" s="69">
        <v>2023</v>
      </c>
      <c r="I13" s="70" t="s">
        <v>45</v>
      </c>
      <c r="J13" s="69">
        <v>5396567</v>
      </c>
      <c r="K13" s="71" t="s">
        <v>46</v>
      </c>
      <c r="L13" s="70" t="s">
        <v>47</v>
      </c>
      <c r="M13" s="70" t="s">
        <v>48</v>
      </c>
      <c r="N13" s="70" t="s">
        <v>610</v>
      </c>
      <c r="O13" s="70" t="s">
        <v>620</v>
      </c>
      <c r="P13" s="70" t="s">
        <v>621</v>
      </c>
      <c r="Q13" s="70" t="s">
        <v>647</v>
      </c>
      <c r="R13" s="69" t="s">
        <v>622</v>
      </c>
      <c r="S13" s="45" t="s">
        <v>81</v>
      </c>
      <c r="T13" s="45" t="s">
        <v>82</v>
      </c>
      <c r="U13" s="45" t="s">
        <v>83</v>
      </c>
      <c r="V13" s="70" t="s">
        <v>719</v>
      </c>
      <c r="W13" s="49"/>
      <c r="X13" s="45"/>
      <c r="Y13" s="70" t="s">
        <v>238</v>
      </c>
      <c r="Z13" s="70" t="s">
        <v>690</v>
      </c>
      <c r="AA13" s="70" t="s">
        <v>289</v>
      </c>
      <c r="AB13" s="70" t="s">
        <v>626</v>
      </c>
      <c r="AC13" s="73" t="s">
        <v>627</v>
      </c>
      <c r="AD13" s="70"/>
      <c r="AE13" s="70"/>
      <c r="AF13" s="70" t="s">
        <v>624</v>
      </c>
      <c r="AG13" s="70" t="s">
        <v>625</v>
      </c>
      <c r="AH13" s="70" t="s">
        <v>628</v>
      </c>
      <c r="AI13" s="70"/>
      <c r="AJ13" s="70" t="s">
        <v>633</v>
      </c>
      <c r="AK13" s="70" t="s">
        <v>629</v>
      </c>
      <c r="AL13" s="70" t="s">
        <v>630</v>
      </c>
      <c r="AM13" s="70" t="s">
        <v>623</v>
      </c>
      <c r="AN13" s="70"/>
      <c r="AO13" s="70" t="s">
        <v>632</v>
      </c>
      <c r="AP13" s="70"/>
      <c r="AQ13" s="70"/>
      <c r="AR13" s="70"/>
      <c r="AT13" s="76" t="s">
        <v>162</v>
      </c>
      <c r="AU13" s="76" t="s">
        <v>706</v>
      </c>
      <c r="AV13" s="87">
        <v>2012</v>
      </c>
    </row>
    <row r="14" spans="1:48" hidden="1" x14ac:dyDescent="0.4">
      <c r="A14" s="62">
        <v>55</v>
      </c>
      <c r="B14" s="63"/>
      <c r="C14" s="64" t="s">
        <v>103</v>
      </c>
      <c r="D14" s="64"/>
      <c r="E14" s="64" t="s">
        <v>50</v>
      </c>
      <c r="F14" s="64" t="s">
        <v>43</v>
      </c>
      <c r="G14" s="64" t="s">
        <v>104</v>
      </c>
      <c r="H14" s="63">
        <v>2022</v>
      </c>
      <c r="I14" s="64" t="s">
        <v>105</v>
      </c>
      <c r="J14" s="63">
        <v>5749283</v>
      </c>
      <c r="K14" s="64" t="s">
        <v>106</v>
      </c>
      <c r="L14" s="64" t="s">
        <v>107</v>
      </c>
      <c r="M14" s="64" t="s">
        <v>72</v>
      </c>
      <c r="N14" s="64" t="s">
        <v>615</v>
      </c>
      <c r="O14" s="64"/>
      <c r="P14" s="64"/>
      <c r="Q14" s="64"/>
      <c r="R14" s="63"/>
      <c r="S14" s="30"/>
      <c r="T14" s="30"/>
      <c r="U14" s="30"/>
      <c r="V14" s="64"/>
      <c r="W14" s="30"/>
      <c r="X14" s="30"/>
      <c r="Y14" s="64"/>
      <c r="Z14" s="64"/>
      <c r="AA14" s="64"/>
      <c r="AB14" s="64"/>
      <c r="AC14" s="64"/>
      <c r="AD14" s="64"/>
      <c r="AE14" s="64"/>
      <c r="AF14" s="64"/>
      <c r="AG14" s="64"/>
      <c r="AH14" s="64"/>
      <c r="AI14" s="64"/>
      <c r="AJ14" s="64"/>
      <c r="AK14" s="64"/>
      <c r="AL14" s="64"/>
      <c r="AM14" s="64"/>
      <c r="AN14" s="64"/>
      <c r="AO14" s="64"/>
      <c r="AP14" s="64"/>
      <c r="AQ14" s="64"/>
      <c r="AR14" s="67"/>
      <c r="AT14" t="s">
        <v>132</v>
      </c>
      <c r="AU14" t="s">
        <v>709</v>
      </c>
      <c r="AV14" s="54">
        <v>2012</v>
      </c>
    </row>
    <row r="15" spans="1:48" hidden="1" x14ac:dyDescent="0.4">
      <c r="A15" s="34">
        <v>57</v>
      </c>
      <c r="B15" s="36"/>
      <c r="C15" s="35" t="s">
        <v>108</v>
      </c>
      <c r="D15" s="35"/>
      <c r="E15" s="35" t="s">
        <v>56</v>
      </c>
      <c r="F15" s="35" t="s">
        <v>43</v>
      </c>
      <c r="G15" s="35" t="s">
        <v>109</v>
      </c>
      <c r="H15" s="36">
        <v>2022</v>
      </c>
      <c r="I15" s="35" t="s">
        <v>110</v>
      </c>
      <c r="J15" s="36">
        <v>5852297</v>
      </c>
      <c r="K15" s="37" t="s">
        <v>111</v>
      </c>
      <c r="L15" s="35" t="s">
        <v>65</v>
      </c>
      <c r="M15" s="35" t="s">
        <v>48</v>
      </c>
      <c r="N15" s="35" t="s">
        <v>615</v>
      </c>
      <c r="O15" s="35"/>
      <c r="P15" s="35"/>
      <c r="Q15" s="35"/>
      <c r="R15" s="36"/>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38"/>
      <c r="AT15" s="55" t="s">
        <v>576</v>
      </c>
      <c r="AU15" s="55" t="s">
        <v>716</v>
      </c>
      <c r="AV15" s="56">
        <v>2012</v>
      </c>
    </row>
    <row r="16" spans="1:48" hidden="1" x14ac:dyDescent="0.4">
      <c r="A16" s="29">
        <v>82</v>
      </c>
      <c r="B16" s="31"/>
      <c r="C16" s="30" t="s">
        <v>112</v>
      </c>
      <c r="D16" s="30"/>
      <c r="E16" s="30" t="s">
        <v>50</v>
      </c>
      <c r="F16" s="30" t="s">
        <v>43</v>
      </c>
      <c r="G16" s="30" t="s">
        <v>113</v>
      </c>
      <c r="H16" s="31">
        <v>2021</v>
      </c>
      <c r="I16" s="30" t="s">
        <v>114</v>
      </c>
      <c r="J16" s="31">
        <v>5855020</v>
      </c>
      <c r="K16" s="30" t="s">
        <v>115</v>
      </c>
      <c r="L16" s="30" t="s">
        <v>116</v>
      </c>
      <c r="M16" s="30" t="s">
        <v>72</v>
      </c>
      <c r="N16" s="30" t="s">
        <v>615</v>
      </c>
      <c r="O16" s="30"/>
      <c r="P16" s="30"/>
      <c r="Q16" s="30"/>
      <c r="R16" s="31"/>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3"/>
      <c r="AT16" t="s">
        <v>576</v>
      </c>
      <c r="AU16" t="s">
        <v>715</v>
      </c>
      <c r="AV16" s="54">
        <v>2016</v>
      </c>
    </row>
    <row r="17" spans="1:48" hidden="1" x14ac:dyDescent="0.4">
      <c r="A17" s="40">
        <v>88</v>
      </c>
      <c r="B17" s="42"/>
      <c r="C17" s="41" t="s">
        <v>117</v>
      </c>
      <c r="D17" s="41"/>
      <c r="E17" s="41" t="s">
        <v>50</v>
      </c>
      <c r="F17" s="41" t="s">
        <v>43</v>
      </c>
      <c r="G17" s="41" t="s">
        <v>118</v>
      </c>
      <c r="H17" s="42">
        <v>2020</v>
      </c>
      <c r="I17" s="41" t="s">
        <v>119</v>
      </c>
      <c r="J17" s="42">
        <v>3280399</v>
      </c>
      <c r="K17" s="37" t="s">
        <v>120</v>
      </c>
      <c r="L17" s="41" t="s">
        <v>121</v>
      </c>
      <c r="M17" s="41" t="s">
        <v>72</v>
      </c>
      <c r="N17" s="35"/>
      <c r="O17" s="35"/>
      <c r="P17" s="35"/>
      <c r="Q17" s="35"/>
      <c r="R17" s="36"/>
      <c r="S17" s="35"/>
      <c r="T17" s="35"/>
      <c r="U17" s="35"/>
      <c r="V17" s="35"/>
      <c r="W17" s="35"/>
      <c r="X17" s="35"/>
      <c r="Y17" s="35"/>
      <c r="Z17" s="35"/>
      <c r="AA17" s="35"/>
      <c r="AB17" s="35"/>
      <c r="AC17" s="35"/>
      <c r="AD17" s="35"/>
      <c r="AE17" s="35"/>
      <c r="AF17" s="35"/>
      <c r="AG17" s="35"/>
      <c r="AH17" s="35"/>
      <c r="AI17" s="35"/>
      <c r="AJ17" s="35"/>
      <c r="AK17" s="35"/>
      <c r="AL17" s="35"/>
      <c r="AM17" s="35"/>
      <c r="AN17" s="35"/>
      <c r="AO17" s="35"/>
      <c r="AP17" s="35"/>
      <c r="AQ17" s="35"/>
      <c r="AR17" s="38"/>
      <c r="AT17" s="55" t="s">
        <v>132</v>
      </c>
      <c r="AU17" s="55" t="s">
        <v>710</v>
      </c>
      <c r="AV17" s="56">
        <v>2017</v>
      </c>
    </row>
    <row r="18" spans="1:48" hidden="1" x14ac:dyDescent="0.4">
      <c r="A18" s="29">
        <v>91</v>
      </c>
      <c r="B18" s="31"/>
      <c r="C18" s="30" t="s">
        <v>122</v>
      </c>
      <c r="D18" s="30"/>
      <c r="E18" s="30" t="s">
        <v>56</v>
      </c>
      <c r="F18" s="30" t="s">
        <v>43</v>
      </c>
      <c r="G18" s="30" t="s">
        <v>123</v>
      </c>
      <c r="H18" s="31">
        <v>2020</v>
      </c>
      <c r="I18" s="30" t="s">
        <v>124</v>
      </c>
      <c r="J18" s="31">
        <v>3597775</v>
      </c>
      <c r="K18" s="32" t="s">
        <v>125</v>
      </c>
      <c r="L18" s="30" t="s">
        <v>126</v>
      </c>
      <c r="M18" s="30" t="s">
        <v>48</v>
      </c>
      <c r="N18" s="30" t="s">
        <v>615</v>
      </c>
      <c r="O18" s="30"/>
      <c r="P18" s="30"/>
      <c r="Q18" s="30"/>
      <c r="R18" s="31"/>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3"/>
    </row>
    <row r="19" spans="1:48" s="76" customFormat="1" x14ac:dyDescent="0.4">
      <c r="A19" s="76">
        <v>25</v>
      </c>
      <c r="B19" s="76">
        <v>2</v>
      </c>
      <c r="C19" s="77" t="s">
        <v>73</v>
      </c>
      <c r="D19" s="77" t="s">
        <v>722</v>
      </c>
      <c r="E19" s="77" t="s">
        <v>67</v>
      </c>
      <c r="F19" s="77" t="s">
        <v>43</v>
      </c>
      <c r="G19" s="77" t="s">
        <v>74</v>
      </c>
      <c r="H19" s="76">
        <v>2023</v>
      </c>
      <c r="I19" s="77" t="s">
        <v>75</v>
      </c>
      <c r="J19" s="76">
        <v>5867841</v>
      </c>
      <c r="K19" s="77" t="s">
        <v>76</v>
      </c>
      <c r="L19" s="77"/>
      <c r="M19" s="77" t="s">
        <v>72</v>
      </c>
      <c r="N19" s="77" t="s">
        <v>613</v>
      </c>
      <c r="O19" s="77" t="s">
        <v>77</v>
      </c>
      <c r="P19" s="78" t="s">
        <v>78</v>
      </c>
      <c r="Q19" s="78" t="s">
        <v>634</v>
      </c>
      <c r="R19" s="79" t="s">
        <v>80</v>
      </c>
      <c r="S19" s="43" t="s">
        <v>81</v>
      </c>
      <c r="T19" s="43" t="s">
        <v>82</v>
      </c>
      <c r="U19" s="43" t="s">
        <v>83</v>
      </c>
      <c r="V19" s="78" t="s">
        <v>84</v>
      </c>
      <c r="W19" s="43" t="s">
        <v>635</v>
      </c>
      <c r="X19" s="43" t="s">
        <v>288</v>
      </c>
      <c r="Y19" s="78" t="s">
        <v>238</v>
      </c>
      <c r="Z19" s="78" t="s">
        <v>636</v>
      </c>
      <c r="AA19" s="78" t="s">
        <v>602</v>
      </c>
      <c r="AB19" s="78" t="s">
        <v>637</v>
      </c>
      <c r="AC19" s="78" t="s">
        <v>684</v>
      </c>
      <c r="AD19" s="81"/>
      <c r="AE19" s="81"/>
      <c r="AF19" s="78" t="s">
        <v>639</v>
      </c>
      <c r="AG19" s="77" t="s">
        <v>672</v>
      </c>
      <c r="AH19" s="81"/>
      <c r="AI19" s="81"/>
      <c r="AJ19" s="78" t="s">
        <v>640</v>
      </c>
      <c r="AK19" s="78" t="s">
        <v>90</v>
      </c>
      <c r="AL19" s="78" t="s">
        <v>589</v>
      </c>
      <c r="AM19" s="78" t="s">
        <v>641</v>
      </c>
      <c r="AN19" s="81"/>
      <c r="AO19" s="77" t="s">
        <v>644</v>
      </c>
      <c r="AP19" s="77" t="s">
        <v>92</v>
      </c>
      <c r="AQ19" s="81"/>
      <c r="AR19" s="81"/>
    </row>
    <row r="20" spans="1:48" hidden="1" x14ac:dyDescent="0.4">
      <c r="A20" s="62">
        <v>97</v>
      </c>
      <c r="B20" s="63"/>
      <c r="C20" s="64" t="s">
        <v>139</v>
      </c>
      <c r="D20" s="64"/>
      <c r="E20" s="64" t="s">
        <v>67</v>
      </c>
      <c r="F20" s="64" t="s">
        <v>43</v>
      </c>
      <c r="G20" s="64" t="s">
        <v>140</v>
      </c>
      <c r="H20" s="63">
        <v>2020</v>
      </c>
      <c r="I20" s="64" t="s">
        <v>141</v>
      </c>
      <c r="J20" s="63">
        <v>3806782</v>
      </c>
      <c r="K20" s="64" t="s">
        <v>142</v>
      </c>
      <c r="L20" s="64" t="s">
        <v>102</v>
      </c>
      <c r="M20" s="64" t="s">
        <v>72</v>
      </c>
      <c r="N20" s="64" t="s">
        <v>616</v>
      </c>
      <c r="O20" s="64"/>
      <c r="P20" s="64"/>
      <c r="Q20" s="64"/>
      <c r="R20" s="63"/>
      <c r="S20" s="30"/>
      <c r="T20" s="30"/>
      <c r="U20" s="30"/>
      <c r="V20" s="64"/>
      <c r="W20" s="30"/>
      <c r="X20" s="30"/>
      <c r="Y20" s="64"/>
      <c r="Z20" s="64"/>
      <c r="AA20" s="64"/>
      <c r="AB20" s="64"/>
      <c r="AC20" s="64"/>
      <c r="AD20" s="64"/>
      <c r="AE20" s="64"/>
      <c r="AF20" s="64"/>
      <c r="AG20" s="64"/>
      <c r="AH20" s="64"/>
      <c r="AI20" s="64"/>
      <c r="AJ20" s="64"/>
      <c r="AK20" s="64"/>
      <c r="AL20" s="64"/>
      <c r="AM20" s="64"/>
      <c r="AN20" s="64"/>
      <c r="AO20" s="64"/>
      <c r="AP20" s="64"/>
      <c r="AQ20" s="64"/>
      <c r="AR20" s="67"/>
    </row>
    <row r="21" spans="1:48" s="76" customFormat="1" x14ac:dyDescent="0.4">
      <c r="A21" s="76">
        <v>25</v>
      </c>
      <c r="B21" s="76">
        <v>3</v>
      </c>
      <c r="C21" s="77" t="s">
        <v>73</v>
      </c>
      <c r="D21" s="77" t="s">
        <v>722</v>
      </c>
      <c r="E21" s="77" t="s">
        <v>67</v>
      </c>
      <c r="F21" s="77" t="s">
        <v>43</v>
      </c>
      <c r="G21" s="77" t="s">
        <v>74</v>
      </c>
      <c r="H21" s="76">
        <v>2023</v>
      </c>
      <c r="I21" s="77" t="s">
        <v>75</v>
      </c>
      <c r="J21" s="76">
        <v>5867841</v>
      </c>
      <c r="K21" s="80" t="s">
        <v>76</v>
      </c>
      <c r="M21" s="77" t="s">
        <v>72</v>
      </c>
      <c r="N21" s="77" t="s">
        <v>613</v>
      </c>
      <c r="O21" s="77" t="s">
        <v>77</v>
      </c>
      <c r="P21" s="77" t="s">
        <v>78</v>
      </c>
      <c r="Q21" s="78" t="s">
        <v>570</v>
      </c>
      <c r="R21" s="77" t="s">
        <v>80</v>
      </c>
      <c r="S21" s="44" t="s">
        <v>81</v>
      </c>
      <c r="T21" s="43" t="s">
        <v>82</v>
      </c>
      <c r="U21" s="44" t="s">
        <v>83</v>
      </c>
      <c r="V21" s="76" t="s">
        <v>84</v>
      </c>
      <c r="W21" s="43" t="s">
        <v>85</v>
      </c>
      <c r="X21" s="43" t="s">
        <v>288</v>
      </c>
      <c r="Y21" s="78" t="s">
        <v>238</v>
      </c>
      <c r="Z21" s="77" t="s">
        <v>572</v>
      </c>
      <c r="AA21" s="78" t="s">
        <v>602</v>
      </c>
      <c r="AB21" s="77" t="s">
        <v>87</v>
      </c>
      <c r="AC21" s="78" t="s">
        <v>668</v>
      </c>
      <c r="AD21" s="77" t="s">
        <v>88</v>
      </c>
      <c r="AE21" s="78" t="s">
        <v>638</v>
      </c>
      <c r="AF21" s="78" t="s">
        <v>645</v>
      </c>
      <c r="AG21" s="77" t="s">
        <v>682</v>
      </c>
      <c r="AH21" s="77"/>
      <c r="AI21" s="78"/>
      <c r="AJ21" s="78" t="s">
        <v>573</v>
      </c>
      <c r="AK21" s="78" t="s">
        <v>241</v>
      </c>
      <c r="AL21" s="77" t="s">
        <v>589</v>
      </c>
      <c r="AM21" s="77" t="s">
        <v>395</v>
      </c>
      <c r="AN21" s="77"/>
      <c r="AO21" s="77" t="s">
        <v>644</v>
      </c>
      <c r="AP21" s="77" t="s">
        <v>92</v>
      </c>
      <c r="AQ21" s="77"/>
      <c r="AR21" s="77"/>
    </row>
    <row r="22" spans="1:48" s="76" customFormat="1" x14ac:dyDescent="0.4">
      <c r="A22" s="76">
        <v>25</v>
      </c>
      <c r="B22" s="76">
        <v>4</v>
      </c>
      <c r="C22" s="77" t="s">
        <v>73</v>
      </c>
      <c r="D22" s="77" t="s">
        <v>722</v>
      </c>
      <c r="E22" s="77" t="s">
        <v>67</v>
      </c>
      <c r="F22" s="77" t="s">
        <v>43</v>
      </c>
      <c r="G22" s="77" t="s">
        <v>74</v>
      </c>
      <c r="H22" s="76">
        <v>2023</v>
      </c>
      <c r="I22" s="77" t="s">
        <v>75</v>
      </c>
      <c r="J22" s="76">
        <v>5867841</v>
      </c>
      <c r="K22" s="77" t="s">
        <v>76</v>
      </c>
      <c r="M22" s="77" t="s">
        <v>72</v>
      </c>
      <c r="N22" s="77" t="s">
        <v>613</v>
      </c>
      <c r="O22" s="77" t="s">
        <v>77</v>
      </c>
      <c r="P22" s="77" t="s">
        <v>78</v>
      </c>
      <c r="Q22" s="78" t="s">
        <v>79</v>
      </c>
      <c r="R22" s="77" t="s">
        <v>80</v>
      </c>
      <c r="S22" s="44" t="s">
        <v>81</v>
      </c>
      <c r="T22" s="43" t="s">
        <v>82</v>
      </c>
      <c r="U22" s="44" t="s">
        <v>83</v>
      </c>
      <c r="V22" s="76" t="s">
        <v>84</v>
      </c>
      <c r="W22" s="43" t="s">
        <v>571</v>
      </c>
      <c r="X22" s="43" t="s">
        <v>288</v>
      </c>
      <c r="Y22" s="78" t="s">
        <v>238</v>
      </c>
      <c r="Z22" s="77" t="s">
        <v>86</v>
      </c>
      <c r="AA22" s="78" t="s">
        <v>602</v>
      </c>
      <c r="AB22" s="77" t="s">
        <v>597</v>
      </c>
      <c r="AC22" s="78" t="s">
        <v>669</v>
      </c>
      <c r="AD22" s="77"/>
      <c r="AF22" s="78" t="s">
        <v>646</v>
      </c>
      <c r="AG22" s="77" t="s">
        <v>683</v>
      </c>
      <c r="AH22" s="77"/>
      <c r="AI22" s="78"/>
      <c r="AJ22" s="78" t="s">
        <v>89</v>
      </c>
      <c r="AK22" s="77" t="s">
        <v>90</v>
      </c>
      <c r="AL22" s="77" t="s">
        <v>589</v>
      </c>
      <c r="AM22" s="77" t="s">
        <v>91</v>
      </c>
      <c r="AN22" s="77"/>
      <c r="AO22" s="77" t="s">
        <v>644</v>
      </c>
      <c r="AP22" s="77" t="s">
        <v>92</v>
      </c>
      <c r="AQ22" s="77"/>
      <c r="AR22" s="77"/>
    </row>
    <row r="23" spans="1:48" hidden="1" x14ac:dyDescent="0.4">
      <c r="A23" s="57">
        <v>100</v>
      </c>
      <c r="B23" s="58"/>
      <c r="C23" s="59" t="s">
        <v>172</v>
      </c>
      <c r="D23" s="59"/>
      <c r="E23" s="59" t="s">
        <v>42</v>
      </c>
      <c r="F23" s="59" t="s">
        <v>43</v>
      </c>
      <c r="G23" s="59" t="s">
        <v>173</v>
      </c>
      <c r="H23" s="58">
        <v>2020</v>
      </c>
      <c r="I23" s="59" t="s">
        <v>174</v>
      </c>
      <c r="J23" s="58">
        <v>4154071</v>
      </c>
      <c r="K23" s="59" t="s">
        <v>175</v>
      </c>
      <c r="L23" s="59" t="s">
        <v>176</v>
      </c>
      <c r="M23" s="59" t="s">
        <v>48</v>
      </c>
      <c r="N23" s="59" t="s">
        <v>615</v>
      </c>
      <c r="O23" s="59"/>
      <c r="P23" s="59"/>
      <c r="Q23" s="59"/>
      <c r="R23" s="58"/>
      <c r="S23" s="35"/>
      <c r="T23" s="35"/>
      <c r="U23" s="35"/>
      <c r="V23" s="59"/>
      <c r="W23" s="35"/>
      <c r="X23" s="35"/>
      <c r="Y23" s="59"/>
      <c r="Z23" s="59"/>
      <c r="AA23" s="59"/>
      <c r="AB23" s="59"/>
      <c r="AC23" s="59"/>
      <c r="AD23" s="59"/>
      <c r="AE23" s="59"/>
      <c r="AF23" s="59"/>
      <c r="AG23" s="59"/>
      <c r="AH23" s="59"/>
      <c r="AI23" s="59"/>
      <c r="AJ23" s="59"/>
      <c r="AK23" s="59"/>
      <c r="AL23" s="59"/>
      <c r="AM23" s="59"/>
      <c r="AN23" s="59"/>
      <c r="AO23" s="59"/>
      <c r="AP23" s="59"/>
      <c r="AQ23" s="59"/>
      <c r="AR23" s="61"/>
    </row>
    <row r="24" spans="1:48" hidden="1" x14ac:dyDescent="0.4">
      <c r="A24" s="29">
        <v>105</v>
      </c>
      <c r="B24" s="31"/>
      <c r="C24" s="30" t="s">
        <v>177</v>
      </c>
      <c r="D24" s="30"/>
      <c r="E24" s="30" t="s">
        <v>50</v>
      </c>
      <c r="F24" s="30" t="s">
        <v>43</v>
      </c>
      <c r="G24" s="30" t="s">
        <v>178</v>
      </c>
      <c r="H24" s="31">
        <v>2020</v>
      </c>
      <c r="I24" s="30" t="s">
        <v>179</v>
      </c>
      <c r="J24" s="31">
        <v>4385551</v>
      </c>
      <c r="K24" s="30" t="s">
        <v>180</v>
      </c>
      <c r="L24" s="30" t="s">
        <v>181</v>
      </c>
      <c r="M24" s="30" t="s">
        <v>48</v>
      </c>
      <c r="N24" s="30" t="s">
        <v>615</v>
      </c>
      <c r="O24" s="30"/>
      <c r="P24" s="30"/>
      <c r="Q24" s="30"/>
      <c r="R24" s="31"/>
      <c r="S24" s="30"/>
      <c r="T24" s="30"/>
      <c r="U24" s="30"/>
      <c r="V24" s="30"/>
      <c r="W24" s="30"/>
      <c r="X24" s="30"/>
      <c r="Y24" s="30"/>
      <c r="Z24" s="30"/>
      <c r="AA24" s="30"/>
      <c r="AB24" s="30"/>
      <c r="AC24" s="30"/>
      <c r="AD24" s="30"/>
      <c r="AE24" s="30"/>
      <c r="AF24" s="30"/>
      <c r="AG24" s="30"/>
      <c r="AH24" s="30"/>
      <c r="AI24" s="30"/>
      <c r="AJ24" s="30"/>
      <c r="AK24" s="30"/>
      <c r="AL24" s="30"/>
      <c r="AM24" s="30"/>
      <c r="AN24" s="30"/>
      <c r="AO24" s="30"/>
      <c r="AP24" s="30"/>
      <c r="AQ24" s="30"/>
      <c r="AR24" s="33"/>
    </row>
    <row r="25" spans="1:48" s="76" customFormat="1" x14ac:dyDescent="0.4">
      <c r="A25" s="76">
        <v>94</v>
      </c>
      <c r="B25" s="76">
        <v>8</v>
      </c>
      <c r="C25" s="77" t="s">
        <v>127</v>
      </c>
      <c r="D25" s="77" t="s">
        <v>722</v>
      </c>
      <c r="E25" s="77" t="s">
        <v>50</v>
      </c>
      <c r="F25" s="77" t="s">
        <v>43</v>
      </c>
      <c r="G25" s="77" t="s">
        <v>128</v>
      </c>
      <c r="H25" s="76">
        <v>2020</v>
      </c>
      <c r="I25" s="77" t="s">
        <v>129</v>
      </c>
      <c r="J25" s="76">
        <v>3722953</v>
      </c>
      <c r="K25" s="80" t="s">
        <v>130</v>
      </c>
      <c r="L25" s="77" t="s">
        <v>60</v>
      </c>
      <c r="M25" s="77" t="s">
        <v>72</v>
      </c>
      <c r="N25" s="77" t="s">
        <v>613</v>
      </c>
      <c r="O25" s="77" t="s">
        <v>131</v>
      </c>
      <c r="P25" s="77"/>
      <c r="Q25" s="77" t="s">
        <v>132</v>
      </c>
      <c r="R25" s="76" t="s">
        <v>133</v>
      </c>
      <c r="S25" s="44" t="s">
        <v>81</v>
      </c>
      <c r="T25" s="44" t="s">
        <v>82</v>
      </c>
      <c r="U25" s="44" t="s">
        <v>83</v>
      </c>
      <c r="V25" s="77" t="s">
        <v>134</v>
      </c>
      <c r="W25" s="44"/>
      <c r="X25" s="44"/>
      <c r="Y25" s="77" t="s">
        <v>131</v>
      </c>
      <c r="Z25" s="77" t="s">
        <v>135</v>
      </c>
      <c r="AA25" s="77" t="s">
        <v>602</v>
      </c>
      <c r="AB25" s="77" t="s">
        <v>655</v>
      </c>
      <c r="AC25" s="77" t="s">
        <v>685</v>
      </c>
      <c r="AD25" s="77"/>
      <c r="AE25" s="77"/>
      <c r="AF25" s="77" t="s">
        <v>675</v>
      </c>
      <c r="AG25" s="77" t="s">
        <v>676</v>
      </c>
      <c r="AH25" s="77" t="s">
        <v>136</v>
      </c>
      <c r="AI25" s="77"/>
      <c r="AJ25" s="77" t="s">
        <v>137</v>
      </c>
      <c r="AK25" s="77" t="s">
        <v>650</v>
      </c>
      <c r="AL25" s="77" t="s">
        <v>155</v>
      </c>
      <c r="AM25" s="77" t="s">
        <v>648</v>
      </c>
      <c r="AN25" s="77"/>
      <c r="AO25" s="77" t="s">
        <v>649</v>
      </c>
      <c r="AP25" s="77" t="s">
        <v>92</v>
      </c>
      <c r="AQ25" s="77"/>
      <c r="AR25" s="77"/>
    </row>
    <row r="26" spans="1:48" hidden="1" x14ac:dyDescent="0.4">
      <c r="A26" s="62">
        <v>116</v>
      </c>
      <c r="B26" s="63"/>
      <c r="C26" s="64" t="s">
        <v>195</v>
      </c>
      <c r="D26" s="64"/>
      <c r="E26" s="64" t="s">
        <v>50</v>
      </c>
      <c r="F26" s="64" t="s">
        <v>43</v>
      </c>
      <c r="G26" s="64" t="s">
        <v>196</v>
      </c>
      <c r="H26" s="63">
        <v>2019</v>
      </c>
      <c r="I26" s="64" t="s">
        <v>197</v>
      </c>
      <c r="J26" s="63">
        <v>2161076</v>
      </c>
      <c r="K26" s="65" t="s">
        <v>198</v>
      </c>
      <c r="L26" s="64" t="s">
        <v>199</v>
      </c>
      <c r="M26" s="64" t="s">
        <v>48</v>
      </c>
      <c r="N26" s="64" t="s">
        <v>615</v>
      </c>
      <c r="O26" s="64"/>
      <c r="P26" s="64"/>
      <c r="Q26" s="64"/>
      <c r="R26" s="63"/>
      <c r="S26" s="30"/>
      <c r="T26" s="30"/>
      <c r="U26" s="30"/>
      <c r="V26" s="64"/>
      <c r="W26" s="30"/>
      <c r="X26" s="30"/>
      <c r="Y26" s="64"/>
      <c r="Z26" s="64"/>
      <c r="AA26" s="64"/>
      <c r="AB26" s="64"/>
      <c r="AC26" s="64"/>
      <c r="AD26" s="64"/>
      <c r="AE26" s="64"/>
      <c r="AF26" s="64"/>
      <c r="AG26" s="64"/>
      <c r="AH26" s="64"/>
      <c r="AI26" s="64"/>
      <c r="AJ26" s="64"/>
      <c r="AK26" s="64"/>
      <c r="AL26" s="64"/>
      <c r="AM26" s="64"/>
      <c r="AN26" s="64"/>
      <c r="AO26" s="64"/>
      <c r="AP26" s="64"/>
      <c r="AQ26" s="64"/>
      <c r="AR26" s="67"/>
    </row>
    <row r="27" spans="1:48" hidden="1" x14ac:dyDescent="0.4">
      <c r="A27" s="34">
        <v>134</v>
      </c>
      <c r="B27" s="36"/>
      <c r="C27" s="35" t="s">
        <v>200</v>
      </c>
      <c r="D27" s="35"/>
      <c r="E27" s="35" t="s">
        <v>201</v>
      </c>
      <c r="F27" s="35" t="s">
        <v>43</v>
      </c>
      <c r="G27" s="35" t="s">
        <v>202</v>
      </c>
      <c r="H27" s="36">
        <v>2018</v>
      </c>
      <c r="I27" s="35" t="s">
        <v>203</v>
      </c>
      <c r="J27" s="36">
        <v>1035207</v>
      </c>
      <c r="K27" s="35" t="s">
        <v>204</v>
      </c>
      <c r="L27" s="35" t="s">
        <v>205</v>
      </c>
      <c r="M27" s="35" t="s">
        <v>48</v>
      </c>
      <c r="N27" s="35" t="s">
        <v>616</v>
      </c>
      <c r="O27" s="35"/>
      <c r="P27" s="35"/>
      <c r="Q27" s="35"/>
      <c r="R27" s="36"/>
      <c r="S27" s="35"/>
      <c r="T27" s="35"/>
      <c r="U27" s="35"/>
      <c r="V27" s="35"/>
      <c r="W27" s="35"/>
      <c r="X27" s="35"/>
      <c r="Y27" s="35"/>
      <c r="Z27" s="35"/>
      <c r="AA27" s="35"/>
      <c r="AB27" s="35"/>
      <c r="AC27" s="35"/>
      <c r="AD27" s="35"/>
      <c r="AE27" s="35"/>
      <c r="AF27" s="35"/>
      <c r="AG27" s="35"/>
      <c r="AH27" s="35"/>
      <c r="AI27" s="35"/>
      <c r="AJ27" s="35"/>
      <c r="AK27" s="35"/>
      <c r="AL27" s="35"/>
      <c r="AM27" s="35"/>
      <c r="AN27" s="35"/>
      <c r="AO27" s="35"/>
      <c r="AP27" s="35"/>
      <c r="AQ27" s="35"/>
      <c r="AR27" s="38"/>
    </row>
    <row r="28" spans="1:48" hidden="1" x14ac:dyDescent="0.4">
      <c r="A28" s="29">
        <v>146</v>
      </c>
      <c r="B28" s="31"/>
      <c r="C28" s="30" t="s">
        <v>206</v>
      </c>
      <c r="D28" s="30"/>
      <c r="E28" s="30" t="s">
        <v>207</v>
      </c>
      <c r="F28" s="30" t="s">
        <v>43</v>
      </c>
      <c r="G28" s="30" t="s">
        <v>208</v>
      </c>
      <c r="H28" s="31">
        <v>2017</v>
      </c>
      <c r="I28" s="30" t="s">
        <v>209</v>
      </c>
      <c r="J28" s="31">
        <v>600501</v>
      </c>
      <c r="K28" s="30" t="s">
        <v>210</v>
      </c>
      <c r="L28" s="30" t="s">
        <v>211</v>
      </c>
      <c r="M28" s="30" t="s">
        <v>72</v>
      </c>
      <c r="N28" s="30" t="s">
        <v>615</v>
      </c>
      <c r="O28" s="30"/>
      <c r="P28" s="30"/>
      <c r="Q28" s="30"/>
      <c r="R28" s="31"/>
      <c r="S28" s="30"/>
      <c r="T28" s="30"/>
      <c r="U28" s="30"/>
      <c r="V28" s="30"/>
      <c r="W28" s="30"/>
      <c r="X28" s="30"/>
      <c r="Y28" s="30"/>
      <c r="Z28" s="30"/>
      <c r="AA28" s="30"/>
      <c r="AB28" s="30"/>
      <c r="AC28" s="30"/>
      <c r="AD28" s="30"/>
      <c r="AE28" s="30"/>
      <c r="AF28" s="30"/>
      <c r="AG28" s="30"/>
      <c r="AH28" s="30"/>
      <c r="AI28" s="30"/>
      <c r="AJ28" s="30"/>
      <c r="AK28" s="30"/>
      <c r="AL28" s="30"/>
      <c r="AM28" s="30"/>
      <c r="AN28" s="30"/>
      <c r="AO28" s="30"/>
      <c r="AP28" s="30"/>
      <c r="AQ28" s="30"/>
      <c r="AR28" s="33"/>
    </row>
    <row r="29" spans="1:48" s="76" customFormat="1" x14ac:dyDescent="0.4">
      <c r="A29" s="76">
        <v>112</v>
      </c>
      <c r="B29" s="76">
        <v>11</v>
      </c>
      <c r="C29" s="77" t="s">
        <v>182</v>
      </c>
      <c r="D29" s="77" t="s">
        <v>722</v>
      </c>
      <c r="E29" s="77" t="s">
        <v>67</v>
      </c>
      <c r="F29" s="77" t="s">
        <v>43</v>
      </c>
      <c r="G29" s="77" t="s">
        <v>183</v>
      </c>
      <c r="H29" s="76">
        <v>2019</v>
      </c>
      <c r="I29" s="77" t="s">
        <v>184</v>
      </c>
      <c r="J29" s="76">
        <v>1902199</v>
      </c>
      <c r="K29" s="77" t="s">
        <v>185</v>
      </c>
      <c r="L29" s="77" t="s">
        <v>186</v>
      </c>
      <c r="M29" s="77" t="s">
        <v>48</v>
      </c>
      <c r="N29" s="77" t="s">
        <v>613</v>
      </c>
      <c r="O29" s="77" t="s">
        <v>187</v>
      </c>
      <c r="P29" s="77"/>
      <c r="Q29" s="77" t="s">
        <v>132</v>
      </c>
      <c r="R29" s="76" t="s">
        <v>188</v>
      </c>
      <c r="S29" s="44" t="s">
        <v>81</v>
      </c>
      <c r="T29" s="44" t="s">
        <v>82</v>
      </c>
      <c r="U29" s="44" t="s">
        <v>83</v>
      </c>
      <c r="V29" s="77" t="s">
        <v>134</v>
      </c>
      <c r="W29" s="44"/>
      <c r="X29" s="44"/>
      <c r="Y29" s="77" t="s">
        <v>272</v>
      </c>
      <c r="Z29" s="77" t="s">
        <v>190</v>
      </c>
      <c r="AA29" s="77" t="s">
        <v>602</v>
      </c>
      <c r="AB29" s="77" t="s">
        <v>656</v>
      </c>
      <c r="AC29" s="77" t="s">
        <v>688</v>
      </c>
      <c r="AD29" s="77"/>
      <c r="AE29" s="77"/>
      <c r="AF29" s="77" t="s">
        <v>664</v>
      </c>
      <c r="AG29" s="77" t="s">
        <v>679</v>
      </c>
      <c r="AH29" s="77"/>
      <c r="AI29" s="77"/>
      <c r="AJ29" s="77" t="s">
        <v>191</v>
      </c>
      <c r="AK29" s="77" t="s">
        <v>192</v>
      </c>
      <c r="AL29" s="77" t="s">
        <v>155</v>
      </c>
      <c r="AM29" s="77" t="s">
        <v>193</v>
      </c>
      <c r="AN29" s="77"/>
      <c r="AO29" s="77" t="s">
        <v>281</v>
      </c>
      <c r="AP29" s="77" t="s">
        <v>579</v>
      </c>
      <c r="AQ29" s="77"/>
      <c r="AR29" s="77" t="s">
        <v>194</v>
      </c>
    </row>
    <row r="30" spans="1:48" hidden="1" x14ac:dyDescent="0.4">
      <c r="A30" s="62">
        <v>164</v>
      </c>
      <c r="B30" s="63"/>
      <c r="C30" s="64" t="s">
        <v>223</v>
      </c>
      <c r="D30" s="64"/>
      <c r="E30" s="64" t="s">
        <v>224</v>
      </c>
      <c r="F30" s="64" t="s">
        <v>43</v>
      </c>
      <c r="G30" s="64" t="s">
        <v>225</v>
      </c>
      <c r="H30" s="63">
        <v>2016</v>
      </c>
      <c r="I30" s="64" t="s">
        <v>226</v>
      </c>
      <c r="J30" s="63">
        <v>219817</v>
      </c>
      <c r="K30" s="64" t="s">
        <v>227</v>
      </c>
      <c r="L30" s="64" t="s">
        <v>186</v>
      </c>
      <c r="M30" s="64" t="s">
        <v>48</v>
      </c>
      <c r="N30" s="64" t="s">
        <v>615</v>
      </c>
      <c r="O30" s="64"/>
      <c r="P30" s="64"/>
      <c r="Q30" s="64"/>
      <c r="R30" s="63"/>
      <c r="S30" s="30"/>
      <c r="T30" s="30"/>
      <c r="U30" s="30"/>
      <c r="V30" s="64"/>
      <c r="W30" s="30"/>
      <c r="X30" s="30"/>
      <c r="Y30" s="64"/>
      <c r="Z30" s="64"/>
      <c r="AA30" s="64"/>
      <c r="AB30" s="64"/>
      <c r="AC30" s="64"/>
      <c r="AD30" s="64"/>
      <c r="AE30" s="64"/>
      <c r="AF30" s="64"/>
      <c r="AG30" s="64"/>
      <c r="AH30" s="64"/>
      <c r="AI30" s="64"/>
      <c r="AJ30" s="64"/>
      <c r="AK30" s="64"/>
      <c r="AL30" s="64"/>
      <c r="AM30" s="64"/>
      <c r="AN30" s="64"/>
      <c r="AO30" s="64"/>
      <c r="AP30" s="64"/>
      <c r="AQ30" s="64"/>
      <c r="AR30" s="67"/>
    </row>
    <row r="31" spans="1:48" s="12" customFormat="1" x14ac:dyDescent="0.4">
      <c r="A31" s="12">
        <v>171</v>
      </c>
      <c r="B31" s="12">
        <v>13</v>
      </c>
      <c r="C31" s="91" t="s">
        <v>228</v>
      </c>
      <c r="D31" s="82" t="s">
        <v>723</v>
      </c>
      <c r="E31" s="91" t="s">
        <v>50</v>
      </c>
      <c r="F31" s="91" t="s">
        <v>43</v>
      </c>
      <c r="G31" s="91" t="s">
        <v>229</v>
      </c>
      <c r="H31" s="12">
        <v>2016</v>
      </c>
      <c r="I31" s="91" t="s">
        <v>230</v>
      </c>
      <c r="J31" s="12">
        <v>581093</v>
      </c>
      <c r="K31" s="92" t="s">
        <v>231</v>
      </c>
      <c r="L31" s="91" t="s">
        <v>232</v>
      </c>
      <c r="M31" s="91" t="s">
        <v>48</v>
      </c>
      <c r="N31" s="91" t="s">
        <v>613</v>
      </c>
      <c r="O31" s="91" t="s">
        <v>233</v>
      </c>
      <c r="P31" s="91"/>
      <c r="Q31" s="91" t="s">
        <v>234</v>
      </c>
      <c r="R31" s="12" t="s">
        <v>235</v>
      </c>
      <c r="S31" s="44" t="s">
        <v>81</v>
      </c>
      <c r="T31" s="44" t="s">
        <v>82</v>
      </c>
      <c r="U31" s="44" t="s">
        <v>83</v>
      </c>
      <c r="V31" s="91" t="s">
        <v>84</v>
      </c>
      <c r="W31" s="43" t="s">
        <v>236</v>
      </c>
      <c r="X31" s="44" t="s">
        <v>237</v>
      </c>
      <c r="Y31" s="91" t="s">
        <v>238</v>
      </c>
      <c r="Z31" s="91" t="s">
        <v>697</v>
      </c>
      <c r="AA31" s="91" t="s">
        <v>602</v>
      </c>
      <c r="AB31" s="91" t="s">
        <v>239</v>
      </c>
      <c r="AC31" s="91" t="s">
        <v>696</v>
      </c>
      <c r="AD31" s="91"/>
      <c r="AE31" s="91"/>
      <c r="AF31" s="91" t="s">
        <v>660</v>
      </c>
      <c r="AG31" s="91" t="s">
        <v>681</v>
      </c>
      <c r="AH31" s="91" t="s">
        <v>240</v>
      </c>
      <c r="AI31" s="91"/>
      <c r="AJ31" s="91" t="s">
        <v>661</v>
      </c>
      <c r="AK31" s="91" t="s">
        <v>241</v>
      </c>
      <c r="AL31" s="91" t="s">
        <v>155</v>
      </c>
      <c r="AM31" s="91" t="s">
        <v>242</v>
      </c>
      <c r="AN31" s="91"/>
      <c r="AO31" s="91" t="s">
        <v>243</v>
      </c>
      <c r="AP31" s="91" t="s">
        <v>667</v>
      </c>
      <c r="AQ31" s="91"/>
      <c r="AR31" s="91" t="s">
        <v>698</v>
      </c>
    </row>
    <row r="32" spans="1:48" hidden="1" x14ac:dyDescent="0.4">
      <c r="A32" s="62">
        <v>185</v>
      </c>
      <c r="B32" s="63"/>
      <c r="C32" s="64" t="s">
        <v>245</v>
      </c>
      <c r="D32" s="64"/>
      <c r="E32" s="64" t="s">
        <v>50</v>
      </c>
      <c r="F32" s="64" t="s">
        <v>43</v>
      </c>
      <c r="G32" s="64" t="s">
        <v>246</v>
      </c>
      <c r="H32" s="63">
        <v>2015</v>
      </c>
      <c r="I32" s="64" t="s">
        <v>247</v>
      </c>
      <c r="J32" s="63">
        <v>413464</v>
      </c>
      <c r="K32" s="64" t="s">
        <v>248</v>
      </c>
      <c r="L32" s="64" t="s">
        <v>249</v>
      </c>
      <c r="M32" s="64" t="s">
        <v>48</v>
      </c>
      <c r="N32" s="64" t="s">
        <v>615</v>
      </c>
      <c r="O32" s="64"/>
      <c r="P32" s="64"/>
      <c r="Q32" s="64"/>
      <c r="R32" s="63"/>
      <c r="S32" s="30"/>
      <c r="T32" s="30"/>
      <c r="U32" s="30"/>
      <c r="V32" s="64"/>
      <c r="W32" s="30"/>
      <c r="X32" s="30"/>
      <c r="Y32" s="64"/>
      <c r="Z32" s="64"/>
      <c r="AA32" s="64"/>
      <c r="AB32" s="64"/>
      <c r="AC32" s="64"/>
      <c r="AD32" s="64"/>
      <c r="AE32" s="64"/>
      <c r="AF32" s="64"/>
      <c r="AG32" s="64"/>
      <c r="AH32" s="64"/>
      <c r="AI32" s="64"/>
      <c r="AJ32" s="64"/>
      <c r="AK32" s="64"/>
      <c r="AL32" s="64"/>
      <c r="AM32" s="64"/>
      <c r="AN32" s="64"/>
      <c r="AO32" s="64"/>
      <c r="AP32" s="64"/>
      <c r="AQ32" s="64"/>
      <c r="AR32" s="67"/>
    </row>
    <row r="33" spans="1:44" hidden="1" x14ac:dyDescent="0.4">
      <c r="A33" s="34">
        <v>188</v>
      </c>
      <c r="B33" s="36"/>
      <c r="C33" s="35" t="s">
        <v>250</v>
      </c>
      <c r="D33" s="35"/>
      <c r="E33" s="35" t="s">
        <v>50</v>
      </c>
      <c r="F33" s="35" t="s">
        <v>43</v>
      </c>
      <c r="G33" s="35" t="s">
        <v>251</v>
      </c>
      <c r="H33" s="36">
        <v>2015</v>
      </c>
      <c r="I33" s="35" t="s">
        <v>252</v>
      </c>
      <c r="J33" s="36">
        <v>892730</v>
      </c>
      <c r="K33" s="35" t="s">
        <v>253</v>
      </c>
      <c r="L33" s="35" t="s">
        <v>249</v>
      </c>
      <c r="M33" s="35" t="s">
        <v>48</v>
      </c>
      <c r="N33" s="35" t="s">
        <v>615</v>
      </c>
      <c r="O33" s="35"/>
      <c r="P33" s="35"/>
      <c r="Q33" s="35"/>
      <c r="R33" s="36"/>
      <c r="S33" s="35"/>
      <c r="T33" s="35"/>
      <c r="U33" s="35"/>
      <c r="V33" s="35"/>
      <c r="W33" s="35"/>
      <c r="X33" s="35"/>
      <c r="Y33" s="35"/>
      <c r="Z33" s="35"/>
      <c r="AA33" s="35"/>
      <c r="AB33" s="35"/>
      <c r="AC33" s="35"/>
      <c r="AD33" s="35"/>
      <c r="AE33" s="35"/>
      <c r="AF33" s="35"/>
      <c r="AG33" s="35"/>
      <c r="AH33" s="35"/>
      <c r="AI33" s="35"/>
      <c r="AJ33" s="35"/>
      <c r="AK33" s="35"/>
      <c r="AL33" s="35"/>
      <c r="AM33" s="35"/>
      <c r="AN33" s="35"/>
      <c r="AO33" s="35"/>
      <c r="AP33" s="35"/>
      <c r="AQ33" s="35"/>
      <c r="AR33" s="38"/>
    </row>
    <row r="34" spans="1:44" ht="15.75" hidden="1" customHeight="1" x14ac:dyDescent="0.4">
      <c r="A34" s="29">
        <v>192</v>
      </c>
      <c r="B34" s="31"/>
      <c r="C34" s="30" t="s">
        <v>254</v>
      </c>
      <c r="D34" s="30"/>
      <c r="E34" s="30" t="s">
        <v>67</v>
      </c>
      <c r="F34" s="30" t="s">
        <v>43</v>
      </c>
      <c r="G34" s="30" t="s">
        <v>255</v>
      </c>
      <c r="H34" s="31">
        <v>2015</v>
      </c>
      <c r="I34" s="30" t="s">
        <v>256</v>
      </c>
      <c r="J34" s="31">
        <v>5868104</v>
      </c>
      <c r="K34" s="30" t="s">
        <v>257</v>
      </c>
      <c r="L34" s="30"/>
      <c r="M34" s="30" t="s">
        <v>72</v>
      </c>
      <c r="N34" s="30" t="s">
        <v>616</v>
      </c>
      <c r="O34" s="30"/>
      <c r="P34" s="30"/>
      <c r="Q34" s="30"/>
      <c r="R34" s="31"/>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3"/>
    </row>
    <row r="36" spans="1:44" x14ac:dyDescent="0.4">
      <c r="C36" s="50"/>
      <c r="D36" s="50"/>
      <c r="E36" s="51">
        <v>28</v>
      </c>
    </row>
    <row r="37" spans="1:44" x14ac:dyDescent="0.4">
      <c r="C37" s="50"/>
      <c r="D37" s="50"/>
      <c r="E37" s="52">
        <v>9</v>
      </c>
      <c r="V37" s="1"/>
    </row>
    <row r="38" spans="1:44" x14ac:dyDescent="0.4">
      <c r="C38" s="50"/>
      <c r="D38" s="50"/>
      <c r="E38" s="51">
        <v>19</v>
      </c>
      <c r="U38" s="1"/>
      <c r="V38" s="50"/>
    </row>
    <row r="39" spans="1:44" x14ac:dyDescent="0.4">
      <c r="C39" s="50"/>
      <c r="D39" s="50"/>
      <c r="E39" s="52">
        <f>E36-E37-E38</f>
        <v>0</v>
      </c>
    </row>
    <row r="46" spans="1:44" x14ac:dyDescent="0.4">
      <c r="U46" s="1"/>
      <c r="V46" s="50"/>
    </row>
    <row r="56" spans="18:36" x14ac:dyDescent="0.4">
      <c r="R56" s="53"/>
    </row>
    <row r="57" spans="18:36" x14ac:dyDescent="0.4">
      <c r="R57" s="53"/>
    </row>
    <row r="58" spans="18:36" x14ac:dyDescent="0.4">
      <c r="AJ58" s="53"/>
    </row>
    <row r="62" spans="18:36" x14ac:dyDescent="0.4">
      <c r="U62" s="1"/>
      <c r="V62" s="50"/>
    </row>
  </sheetData>
  <autoFilter ref="A1:AR34" xr:uid="{35F50AAE-838D-4058-A682-1527ACCFC479}">
    <filterColumn colId="13">
      <filters>
        <filter val="Sophie"/>
        <filter val="Valentin"/>
      </filters>
    </filterColumn>
    <sortState xmlns:xlrd2="http://schemas.microsoft.com/office/spreadsheetml/2017/richdata2" ref="A2:AR31">
      <sortCondition ref="D1:D34"/>
    </sortState>
  </autoFilter>
  <conditionalFormatting sqref="X38 W39">
    <cfRule type="dataBar" priority="3">
      <dataBar>
        <cfvo type="min"/>
        <cfvo type="max"/>
        <color rgb="FF63C384"/>
      </dataBar>
      <extLst>
        <ext xmlns:x14="http://schemas.microsoft.com/office/spreadsheetml/2009/9/main" uri="{B025F937-C7B1-47D3-B67F-A62EFF666E3E}">
          <x14:id>{CE422ACC-FAB2-4816-84BD-EBCAB72C9EE3}</x14:id>
        </ext>
      </extLst>
    </cfRule>
  </conditionalFormatting>
  <conditionalFormatting sqref="X46">
    <cfRule type="dataBar" priority="2">
      <dataBar>
        <cfvo type="min"/>
        <cfvo type="max"/>
        <color rgb="FF63C384"/>
      </dataBar>
      <extLst>
        <ext xmlns:x14="http://schemas.microsoft.com/office/spreadsheetml/2009/9/main" uri="{B025F937-C7B1-47D3-B67F-A62EFF666E3E}">
          <x14:id>{DCBE16C4-A4BB-4637-BBA5-E87C084D2B46}</x14:id>
        </ext>
      </extLst>
    </cfRule>
  </conditionalFormatting>
  <conditionalFormatting sqref="X62">
    <cfRule type="dataBar" priority="1">
      <dataBar>
        <cfvo type="min"/>
        <cfvo type="max"/>
        <color rgb="FF63C384"/>
      </dataBar>
      <extLst>
        <ext xmlns:x14="http://schemas.microsoft.com/office/spreadsheetml/2009/9/main" uri="{B025F937-C7B1-47D3-B67F-A62EFF666E3E}">
          <x14:id>{67A21247-84BB-4B65-9AA1-07A66FB6A695}</x14:id>
        </ext>
      </extLst>
    </cfRule>
  </conditionalFormatting>
  <dataValidations count="21">
    <dataValidation type="list" allowBlank="1" showInputMessage="1" showErrorMessage="1" sqref="AK1" xr:uid="{A4D9BE1A-6DF0-44B9-A352-EA2408C994BC}">
      <formula1>INDIRECT("Table11[Actors beneficiaries]")</formula1>
    </dataValidation>
    <dataValidation type="list" allowBlank="1" showInputMessage="1" showErrorMessage="1" sqref="AQ7:AQ9 AO2:AO34" xr:uid="{361070C8-D5F8-4C97-BBA8-F6EA09A4E5FB}">
      <formula1>INDIRECT("Table19[Terminology]")</formula1>
    </dataValidation>
    <dataValidation type="list" allowBlank="1" showInputMessage="1" showErrorMessage="1" sqref="AQ8:AQ9 AP2:AP34" xr:uid="{91D976D9-6CC5-464D-AED3-DC65A1F1CC4C}">
      <formula1>INDIRECT("Table21[Policy_relation]")</formula1>
    </dataValidation>
    <dataValidation type="list" allowBlank="1" showInputMessage="1" showErrorMessage="1" sqref="O2:O7 S8:S9 O10:O34" xr:uid="{FCF06A0A-237B-4B1E-9F88-BAB9196CFD03}">
      <formula1>INDIRECT("Table1[research_method]")</formula1>
    </dataValidation>
    <dataValidation type="list" allowBlank="1" showInputMessage="1" showErrorMessage="1" sqref="S2:S7 S10:S34" xr:uid="{A7026998-8FFD-44F6-AD5C-8F2D09FCF3F1}">
      <formula1>INDIRECT("Table2[technology_sector]")</formula1>
    </dataValidation>
    <dataValidation type="list" allowBlank="1" showInputMessage="1" showErrorMessage="1" sqref="T2:T7 T10:T34" xr:uid="{63D1F2BD-BCFF-4279-B73E-A28F7EEE0F9B}">
      <formula1>INDIRECT("Table3[subsector]")</formula1>
    </dataValidation>
    <dataValidation type="list" allowBlank="1" showInputMessage="1" showErrorMessage="1" sqref="U2:U7 U10:U34" xr:uid="{4D04E00B-C2C3-4F2B-A468-12FCD541BC9F}">
      <formula1>INDIRECT("Table4[technology_mitigation_option]")</formula1>
    </dataValidation>
    <dataValidation type="list" allowBlank="1" showInputMessage="1" showErrorMessage="1" sqref="U8:U9 Q2:Q34" xr:uid="{FB7FA6DB-CE41-4F08-8FB9-86DDAE60A36F}">
      <formula1>INDIRECT("Table11[research_geography]")</formula1>
    </dataValidation>
    <dataValidation type="list" allowBlank="1" showInputMessage="1" showErrorMessage="1" sqref="V2:V7 Z8:Z9 V10:V34" xr:uid="{E950ECD2-8F3A-44E0-B105-1D019AD79DB0}">
      <formula1>INDIRECT("Table5[technology]")</formula1>
    </dataValidation>
    <dataValidation type="list" allowBlank="1" showInputMessage="1" showErrorMessage="1" sqref="W2:W34" xr:uid="{AA4D6E8B-C3E3-414D-86CA-566CDAD12656}">
      <formula1>INDIRECT("Table12[Applicable for what other geographies]")</formula1>
    </dataValidation>
    <dataValidation type="list" allowBlank="1" showInputMessage="1" showErrorMessage="1" sqref="AB2:AB34" xr:uid="{AEB80342-B935-4C02-8EA4-6A8C3CA1B803}">
      <formula1>INDIRECT("Table6[Enabler]")</formula1>
    </dataValidation>
    <dataValidation type="list" allowBlank="1" showInputMessage="1" showErrorMessage="1" sqref="AD2:AD7 AH8:AH9 AD10:AD34" xr:uid="{E68419AF-3A29-42DD-A9B2-D54E890BEDB0}">
      <formula1>INDIRECT("Table7[Barrier]")</formula1>
    </dataValidation>
    <dataValidation type="list" allowBlank="1" showInputMessage="1" showErrorMessage="1" sqref="AF2:AF34" xr:uid="{A5ED670C-FFDB-4150-A9D8-778D933046F2}">
      <formula1>INDIRECT("Table9[Entry]")</formula1>
    </dataValidation>
    <dataValidation type="list" allowBlank="1" showInputMessage="1" showErrorMessage="1" sqref="AK2:AK7 AK10:AK34" xr:uid="{1DE93320-ABE0-47EF-9668-04E8451B1171}">
      <formula1>INDIRECT("Table16[Targeted actors]")</formula1>
    </dataValidation>
    <dataValidation type="list" allowBlank="1" showInputMessage="1" showErrorMessage="1" sqref="AL2:AL7 AL10:AL34" xr:uid="{C9C30AD9-E7A6-466D-892F-B1AD98C9AD54}">
      <formula1>INDIRECT("Table17[Actors policymakers]")</formula1>
    </dataValidation>
    <dataValidation type="list" allowBlank="1" showInputMessage="1" showErrorMessage="1" sqref="AM2:AM7 AM10:AM34 AQ8:AQ9" xr:uid="{79F23FDB-9A76-469F-A869-F689CB838940}">
      <formula1>INDIRECT("Table18[Objectives policymakers]")</formula1>
    </dataValidation>
    <dataValidation type="list" allowBlank="1" showInputMessage="1" showErrorMessage="1" sqref="AB9 X2:X34" xr:uid="{7EB30C8A-6139-4CC6-B562-425BD2EA99FA}">
      <formula1>INDIRECT("Table22[Details_applicability]")</formula1>
    </dataValidation>
    <dataValidation type="list" allowBlank="1" showInputMessage="1" showErrorMessage="1" sqref="AA2:AA34" xr:uid="{42CF365B-3A2E-4BCA-907D-4A58FD948445}">
      <formula1>INDIRECT("Table20[Generalization assessment]")</formula1>
    </dataValidation>
    <dataValidation type="list" allowBlank="1" showInputMessage="1" showErrorMessage="1" sqref="Y2:Y34" xr:uid="{7047A151-2536-49BA-BFF2-09D38CF72552}">
      <formula1>INDIRECT("Table15[Proof of deployment]")</formula1>
    </dataValidation>
    <dataValidation type="list" allowBlank="1" showInputMessage="1" showErrorMessage="1" sqref="AN2:AN7 AN10:AN34" xr:uid="{FA2F5A52-0257-42E0-A3E7-3BCCA4E78987}">
      <formula1>INDIRECT("Table14[Actors other]")</formula1>
    </dataValidation>
    <dataValidation type="list" allowBlank="1" showInputMessage="1" showErrorMessage="1" sqref="N2:N107" xr:uid="{12A008CA-E027-4C09-8D20-5C9A24AB88CD}">
      <formula1>Extraction</formula1>
    </dataValidation>
  </dataValidations>
  <hyperlinks>
    <hyperlink ref="K10" r:id="rId1" xr:uid="{22F23601-8AF4-4928-BAD9-27778B627272}"/>
    <hyperlink ref="K6" r:id="rId2" xr:uid="{A4CA25BA-19E6-4497-9785-FC62929080F4}"/>
    <hyperlink ref="K5" r:id="rId3" xr:uid="{429361EC-91C7-46C7-B2BB-D51BC5C15BFE}"/>
    <hyperlink ref="K13" r:id="rId4" xr:uid="{D352EB53-6E8F-48BE-A621-F9789249EEAB}"/>
    <hyperlink ref="K3" r:id="rId5" xr:uid="{373977C0-4F3E-4D8C-946B-6D0EE44BE462}"/>
    <hyperlink ref="K18" r:id="rId6" xr:uid="{842DFA82-F918-4A60-9471-368AA14CCCF9}"/>
    <hyperlink ref="K15" r:id="rId7" xr:uid="{9028AFE3-C240-45C9-8E43-A97FDEA22EBB}"/>
    <hyperlink ref="K26" r:id="rId8" xr:uid="{3FF2485A-F8DC-43B0-BE0A-DA51EFFBEAFE}"/>
    <hyperlink ref="K17" r:id="rId9" xr:uid="{3590D474-C6D8-4FCC-8129-9D6C9F86BAD7}"/>
    <hyperlink ref="K31" r:id="rId10" xr:uid="{9857B9CF-6024-4E3B-B967-310AB85277CE}"/>
    <hyperlink ref="K25" r:id="rId11" xr:uid="{27287F11-8EEC-4C82-8E85-A2E89C77BDDC}"/>
    <hyperlink ref="K21" r:id="rId12" xr:uid="{1949CB4B-CABA-4C3F-B513-39EC197EA90F}"/>
    <hyperlink ref="K9" r:id="rId13" xr:uid="{DB645422-71F9-4C71-9A0B-50BD3946637E}"/>
    <hyperlink ref="K12" r:id="rId14" xr:uid="{E9E1374F-5376-49E9-AE7C-B4FE5329E6CA}"/>
  </hyperlinks>
  <pageMargins left="0.25" right="0.25" top="0.75" bottom="0.75" header="0.3" footer="0.3"/>
  <pageSetup paperSize="9" orientation="portrait" r:id="rId15"/>
  <legacyDrawing r:id="rId16"/>
  <extLst>
    <ext xmlns:x14="http://schemas.microsoft.com/office/spreadsheetml/2009/9/main" uri="{78C0D931-6437-407d-A8EE-F0AAD7539E65}">
      <x14:conditionalFormattings>
        <x14:conditionalFormatting xmlns:xm="http://schemas.microsoft.com/office/excel/2006/main">
          <x14:cfRule type="dataBar" id="{CE422ACC-FAB2-4816-84BD-EBCAB72C9EE3}">
            <x14:dataBar minLength="0" maxLength="100" gradient="0">
              <x14:cfvo type="autoMin"/>
              <x14:cfvo type="autoMax"/>
              <x14:negativeFillColor rgb="FFFF0000"/>
              <x14:axisColor rgb="FF000000"/>
            </x14:dataBar>
          </x14:cfRule>
          <xm:sqref>X38 W39</xm:sqref>
        </x14:conditionalFormatting>
        <x14:conditionalFormatting xmlns:xm="http://schemas.microsoft.com/office/excel/2006/main">
          <x14:cfRule type="dataBar" id="{DCBE16C4-A4BB-4637-BBA5-E87C084D2B46}">
            <x14:dataBar minLength="0" maxLength="100" gradient="0">
              <x14:cfvo type="autoMin"/>
              <x14:cfvo type="autoMax"/>
              <x14:negativeFillColor rgb="FFFF0000"/>
              <x14:axisColor rgb="FF000000"/>
            </x14:dataBar>
          </x14:cfRule>
          <xm:sqref>X46</xm:sqref>
        </x14:conditionalFormatting>
        <x14:conditionalFormatting xmlns:xm="http://schemas.microsoft.com/office/excel/2006/main">
          <x14:cfRule type="dataBar" id="{67A21247-84BB-4B65-9AA1-07A66FB6A695}">
            <x14:dataBar minLength="0" maxLength="100" gradient="0">
              <x14:cfvo type="autoMin"/>
              <x14:cfvo type="autoMax"/>
              <x14:negativeFillColor rgb="FFFF0000"/>
              <x14:axisColor rgb="FF000000"/>
            </x14:dataBar>
          </x14:cfRule>
          <xm:sqref>X62</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F391A-DDCF-438B-A9AD-8D52FDBE25F6}">
  <sheetPr codeName="Sheet2"/>
  <dimension ref="A1:X96"/>
  <sheetViews>
    <sheetView topLeftCell="B1" zoomScale="104" zoomScaleNormal="115" workbookViewId="0">
      <selection activeCell="H17" sqref="H17"/>
    </sheetView>
  </sheetViews>
  <sheetFormatPr defaultRowHeight="14.6" x14ac:dyDescent="0.4"/>
  <cols>
    <col min="1" max="1" width="14" customWidth="1"/>
    <col min="2" max="2" width="49.3046875" customWidth="1"/>
    <col min="3" max="3" width="21" customWidth="1"/>
    <col min="4" max="4" width="19.53515625" customWidth="1"/>
    <col min="5" max="5" width="11.69140625" customWidth="1"/>
    <col min="6" max="6" width="37" customWidth="1"/>
    <col min="7" max="7" width="31" customWidth="1"/>
    <col min="8" max="8" width="38.84375" customWidth="1"/>
    <col min="9" max="9" width="25.69140625" customWidth="1"/>
    <col min="10" max="10" width="27.69140625" customWidth="1"/>
    <col min="11" max="11" width="27.84375" customWidth="1"/>
    <col min="12" max="12" width="45.3828125" bestFit="1" customWidth="1"/>
    <col min="13" max="13" width="61.15234375" customWidth="1"/>
    <col min="14" max="14" width="46.84375" customWidth="1"/>
    <col min="15" max="15" width="21.69140625" customWidth="1"/>
    <col min="16" max="16" width="61.84375" bestFit="1" customWidth="1"/>
    <col min="17" max="17" width="89.3828125" customWidth="1"/>
    <col min="18" max="18" width="26.69140625" customWidth="1"/>
    <col min="19" max="19" width="38.53515625" customWidth="1"/>
    <col min="20" max="20" width="25" customWidth="1"/>
    <col min="21" max="21" width="55.3046875" customWidth="1"/>
    <col min="22" max="22" width="21.53515625" customWidth="1"/>
    <col min="23" max="23" width="23.15234375" customWidth="1"/>
    <col min="24" max="24" width="22.69140625" customWidth="1"/>
  </cols>
  <sheetData>
    <row r="1" spans="1:24" ht="15" thickBot="1" x14ac:dyDescent="0.45">
      <c r="A1" s="26" t="s">
        <v>611</v>
      </c>
      <c r="B1" s="1" t="s">
        <v>11</v>
      </c>
      <c r="C1" s="1" t="s">
        <v>13</v>
      </c>
      <c r="D1" s="1" t="s">
        <v>15</v>
      </c>
      <c r="E1" s="1" t="s">
        <v>16</v>
      </c>
      <c r="F1" s="1" t="s">
        <v>17</v>
      </c>
      <c r="G1" s="1" t="s">
        <v>18</v>
      </c>
      <c r="H1" t="s">
        <v>19</v>
      </c>
      <c r="I1" t="s">
        <v>258</v>
      </c>
      <c r="J1" t="s">
        <v>21</v>
      </c>
      <c r="K1" t="s">
        <v>23</v>
      </c>
      <c r="L1" s="1" t="s">
        <v>24</v>
      </c>
      <c r="M1" s="1" t="s">
        <v>259</v>
      </c>
      <c r="N1" s="1" t="s">
        <v>26</v>
      </c>
      <c r="O1" s="1" t="s">
        <v>260</v>
      </c>
      <c r="P1" s="1" t="s">
        <v>261</v>
      </c>
      <c r="Q1" s="1" t="s">
        <v>262</v>
      </c>
      <c r="R1" s="1" t="s">
        <v>263</v>
      </c>
      <c r="S1" t="s">
        <v>264</v>
      </c>
      <c r="T1" t="s">
        <v>34</v>
      </c>
      <c r="U1" t="s">
        <v>35</v>
      </c>
      <c r="V1" t="s">
        <v>36</v>
      </c>
      <c r="W1" t="s">
        <v>37</v>
      </c>
      <c r="X1" t="s">
        <v>265</v>
      </c>
    </row>
    <row r="2" spans="1:24" ht="15" thickBot="1" x14ac:dyDescent="0.45">
      <c r="A2" s="24" t="s">
        <v>612</v>
      </c>
      <c r="B2" t="s">
        <v>233</v>
      </c>
      <c r="C2" t="s">
        <v>266</v>
      </c>
      <c r="D2" t="s">
        <v>267</v>
      </c>
      <c r="E2" t="s">
        <v>268</v>
      </c>
      <c r="F2" t="s">
        <v>269</v>
      </c>
      <c r="G2" t="s">
        <v>270</v>
      </c>
      <c r="H2" t="s">
        <v>271</v>
      </c>
      <c r="I2" t="s">
        <v>237</v>
      </c>
      <c r="J2" t="s">
        <v>272</v>
      </c>
      <c r="K2" t="s">
        <v>602</v>
      </c>
      <c r="L2" t="s">
        <v>372</v>
      </c>
      <c r="N2" t="s">
        <v>273</v>
      </c>
      <c r="O2" s="3" t="s">
        <v>275</v>
      </c>
      <c r="P2" s="4" t="s">
        <v>276</v>
      </c>
      <c r="Q2" s="5" t="s">
        <v>277</v>
      </c>
      <c r="R2" s="6" t="s">
        <v>278</v>
      </c>
      <c r="S2" t="s">
        <v>138</v>
      </c>
      <c r="T2" t="s">
        <v>155</v>
      </c>
      <c r="U2" t="s">
        <v>279</v>
      </c>
      <c r="V2" t="s">
        <v>280</v>
      </c>
      <c r="W2" t="s">
        <v>281</v>
      </c>
      <c r="X2" t="s">
        <v>92</v>
      </c>
    </row>
    <row r="3" spans="1:24" ht="15" thickBot="1" x14ac:dyDescent="0.45">
      <c r="A3" s="25" t="s">
        <v>613</v>
      </c>
      <c r="B3" t="s">
        <v>282</v>
      </c>
      <c r="C3" t="s">
        <v>283</v>
      </c>
      <c r="D3" t="s">
        <v>284</v>
      </c>
      <c r="E3" t="s">
        <v>285</v>
      </c>
      <c r="F3" t="s">
        <v>83</v>
      </c>
      <c r="G3" t="s">
        <v>286</v>
      </c>
      <c r="H3" t="s">
        <v>287</v>
      </c>
      <c r="I3" t="s">
        <v>288</v>
      </c>
      <c r="J3" t="s">
        <v>238</v>
      </c>
      <c r="K3" t="s">
        <v>289</v>
      </c>
      <c r="L3" t="s">
        <v>273</v>
      </c>
      <c r="M3" s="2" t="s">
        <v>274</v>
      </c>
      <c r="N3" t="s">
        <v>291</v>
      </c>
      <c r="O3" s="3" t="s">
        <v>292</v>
      </c>
      <c r="P3" s="15" t="s">
        <v>333</v>
      </c>
      <c r="Q3" s="8"/>
      <c r="R3" s="9" t="s">
        <v>294</v>
      </c>
      <c r="S3" t="s">
        <v>295</v>
      </c>
      <c r="T3" t="s">
        <v>589</v>
      </c>
      <c r="U3" t="s">
        <v>296</v>
      </c>
      <c r="V3" t="s">
        <v>297</v>
      </c>
      <c r="W3" t="s">
        <v>298</v>
      </c>
      <c r="X3" t="s">
        <v>244</v>
      </c>
    </row>
    <row r="4" spans="1:24" ht="15" thickBot="1" x14ac:dyDescent="0.45">
      <c r="A4" s="24" t="s">
        <v>610</v>
      </c>
      <c r="B4" t="s">
        <v>299</v>
      </c>
      <c r="C4" t="s">
        <v>162</v>
      </c>
      <c r="D4" t="s">
        <v>300</v>
      </c>
      <c r="E4" t="s">
        <v>301</v>
      </c>
      <c r="F4" t="s">
        <v>302</v>
      </c>
      <c r="G4" t="s">
        <v>303</v>
      </c>
      <c r="H4" t="s">
        <v>304</v>
      </c>
      <c r="I4" t="s">
        <v>305</v>
      </c>
      <c r="J4" t="s">
        <v>131</v>
      </c>
      <c r="K4" t="s">
        <v>306</v>
      </c>
      <c r="L4" t="s">
        <v>290</v>
      </c>
      <c r="N4" t="s">
        <v>307</v>
      </c>
      <c r="O4" s="3" t="s">
        <v>308</v>
      </c>
      <c r="P4" s="7" t="s">
        <v>293</v>
      </c>
      <c r="Q4" s="8"/>
      <c r="R4" s="9" t="s">
        <v>310</v>
      </c>
      <c r="S4" t="s">
        <v>311</v>
      </c>
      <c r="T4" t="s">
        <v>280</v>
      </c>
      <c r="U4" t="s">
        <v>312</v>
      </c>
      <c r="V4" t="s">
        <v>313</v>
      </c>
      <c r="W4" t="s">
        <v>314</v>
      </c>
    </row>
    <row r="5" spans="1:24" ht="15" thickBot="1" x14ac:dyDescent="0.45">
      <c r="A5" s="25" t="s">
        <v>614</v>
      </c>
      <c r="B5" t="s">
        <v>315</v>
      </c>
      <c r="C5" t="s">
        <v>132</v>
      </c>
      <c r="D5" t="s">
        <v>81</v>
      </c>
      <c r="E5" t="s">
        <v>82</v>
      </c>
      <c r="F5" t="s">
        <v>316</v>
      </c>
      <c r="G5" t="s">
        <v>84</v>
      </c>
      <c r="H5" t="s">
        <v>317</v>
      </c>
      <c r="L5" t="s">
        <v>291</v>
      </c>
      <c r="N5" t="s">
        <v>319</v>
      </c>
      <c r="O5" s="3" t="s">
        <v>320</v>
      </c>
      <c r="P5" s="15" t="s">
        <v>342</v>
      </c>
      <c r="Q5" s="8" t="s">
        <v>343</v>
      </c>
      <c r="R5" s="10" t="s">
        <v>322</v>
      </c>
      <c r="S5" s="11" t="s">
        <v>323</v>
      </c>
      <c r="T5" t="s">
        <v>324</v>
      </c>
      <c r="U5" t="s">
        <v>170</v>
      </c>
      <c r="W5" t="s">
        <v>325</v>
      </c>
    </row>
    <row r="6" spans="1:24" ht="15" thickBot="1" x14ac:dyDescent="0.45">
      <c r="A6" s="24" t="s">
        <v>615</v>
      </c>
      <c r="B6" t="s">
        <v>148</v>
      </c>
      <c r="C6" t="s">
        <v>234</v>
      </c>
      <c r="D6" t="s">
        <v>326</v>
      </c>
      <c r="E6" t="s">
        <v>269</v>
      </c>
      <c r="F6" t="s">
        <v>327</v>
      </c>
      <c r="G6" t="s">
        <v>328</v>
      </c>
      <c r="H6" t="s">
        <v>329</v>
      </c>
      <c r="L6" t="s">
        <v>330</v>
      </c>
      <c r="N6" t="s">
        <v>331</v>
      </c>
      <c r="O6" s="3" t="s">
        <v>332</v>
      </c>
      <c r="P6" s="23" t="s">
        <v>309</v>
      </c>
      <c r="Q6" s="23"/>
      <c r="R6" s="9" t="s">
        <v>334</v>
      </c>
      <c r="S6" t="s">
        <v>241</v>
      </c>
      <c r="U6" t="s">
        <v>335</v>
      </c>
      <c r="W6" t="s">
        <v>336</v>
      </c>
    </row>
    <row r="7" spans="1:24" ht="15" thickBot="1" x14ac:dyDescent="0.45">
      <c r="A7" s="27" t="s">
        <v>616</v>
      </c>
      <c r="B7" t="s">
        <v>337</v>
      </c>
      <c r="C7" t="s">
        <v>338</v>
      </c>
      <c r="F7" t="s">
        <v>164</v>
      </c>
      <c r="G7" t="s">
        <v>580</v>
      </c>
      <c r="H7" t="s">
        <v>339</v>
      </c>
      <c r="L7" t="s">
        <v>307</v>
      </c>
      <c r="N7" s="14" t="s">
        <v>340</v>
      </c>
      <c r="O7" s="3" t="s">
        <v>341</v>
      </c>
      <c r="P7" s="23" t="s">
        <v>321</v>
      </c>
      <c r="Q7" s="13"/>
      <c r="R7" s="10" t="s">
        <v>344</v>
      </c>
      <c r="S7" t="s">
        <v>345</v>
      </c>
      <c r="U7" t="s">
        <v>346</v>
      </c>
      <c r="W7" t="s">
        <v>347</v>
      </c>
    </row>
    <row r="8" spans="1:24" ht="15" thickBot="1" x14ac:dyDescent="0.45">
      <c r="B8" t="s">
        <v>187</v>
      </c>
      <c r="C8" t="s">
        <v>348</v>
      </c>
      <c r="G8" t="s">
        <v>581</v>
      </c>
      <c r="H8" t="s">
        <v>349</v>
      </c>
      <c r="L8" t="s">
        <v>407</v>
      </c>
      <c r="M8" s="14" t="s">
        <v>408</v>
      </c>
      <c r="N8" t="s">
        <v>352</v>
      </c>
      <c r="P8" s="7" t="s">
        <v>360</v>
      </c>
      <c r="Q8" s="8"/>
      <c r="R8" s="9" t="s">
        <v>354</v>
      </c>
      <c r="S8" t="s">
        <v>355</v>
      </c>
      <c r="U8" t="s">
        <v>356</v>
      </c>
      <c r="W8" t="s">
        <v>608</v>
      </c>
    </row>
    <row r="9" spans="1:24" ht="15" thickBot="1" x14ac:dyDescent="0.45">
      <c r="B9" t="s">
        <v>131</v>
      </c>
      <c r="C9" t="s">
        <v>357</v>
      </c>
      <c r="G9" t="s">
        <v>719</v>
      </c>
      <c r="H9" t="s">
        <v>189</v>
      </c>
      <c r="L9" t="s">
        <v>350</v>
      </c>
      <c r="M9" t="s">
        <v>351</v>
      </c>
      <c r="N9" t="s">
        <v>359</v>
      </c>
      <c r="P9" s="8" t="s">
        <v>353</v>
      </c>
      <c r="Q9" s="8"/>
      <c r="R9" s="10" t="s">
        <v>361</v>
      </c>
      <c r="S9" t="s">
        <v>362</v>
      </c>
      <c r="U9" t="s">
        <v>363</v>
      </c>
      <c r="W9" t="s">
        <v>631</v>
      </c>
    </row>
    <row r="10" spans="1:24" ht="15" thickBot="1" x14ac:dyDescent="0.45">
      <c r="B10" t="s">
        <v>364</v>
      </c>
      <c r="C10" t="s">
        <v>365</v>
      </c>
      <c r="H10" t="s">
        <v>366</v>
      </c>
      <c r="L10" t="s">
        <v>358</v>
      </c>
      <c r="N10" t="s">
        <v>368</v>
      </c>
      <c r="P10" s="15" t="s">
        <v>369</v>
      </c>
      <c r="Q10" s="8"/>
      <c r="R10" s="9" t="s">
        <v>370</v>
      </c>
      <c r="U10" t="s">
        <v>91</v>
      </c>
      <c r="W10" t="s">
        <v>642</v>
      </c>
    </row>
    <row r="11" spans="1:24" ht="15" thickBot="1" x14ac:dyDescent="0.45">
      <c r="C11" t="s">
        <v>371</v>
      </c>
      <c r="H11" t="s">
        <v>218</v>
      </c>
      <c r="L11" t="s">
        <v>367</v>
      </c>
      <c r="N11" t="s">
        <v>373</v>
      </c>
      <c r="P11" s="7" t="s">
        <v>374</v>
      </c>
      <c r="Q11" s="8"/>
      <c r="R11" s="9" t="s">
        <v>375</v>
      </c>
      <c r="U11" t="s">
        <v>376</v>
      </c>
      <c r="W11" t="s">
        <v>643</v>
      </c>
    </row>
    <row r="12" spans="1:24" ht="15" thickBot="1" x14ac:dyDescent="0.45">
      <c r="C12" t="s">
        <v>377</v>
      </c>
      <c r="H12" t="s">
        <v>378</v>
      </c>
      <c r="L12" t="s">
        <v>387</v>
      </c>
      <c r="M12" s="14"/>
      <c r="N12" t="s">
        <v>381</v>
      </c>
      <c r="P12" s="13" t="s">
        <v>388</v>
      </c>
      <c r="Q12" s="8"/>
      <c r="U12" t="s">
        <v>384</v>
      </c>
    </row>
    <row r="13" spans="1:24" ht="15" thickBot="1" x14ac:dyDescent="0.45">
      <c r="C13" t="s">
        <v>385</v>
      </c>
      <c r="H13" t="s">
        <v>386</v>
      </c>
      <c r="L13" s="14" t="s">
        <v>392</v>
      </c>
      <c r="M13" t="s">
        <v>393</v>
      </c>
      <c r="P13" s="15" t="s">
        <v>432</v>
      </c>
      <c r="Q13" s="8" t="s">
        <v>433</v>
      </c>
      <c r="U13" s="14" t="s">
        <v>389</v>
      </c>
    </row>
    <row r="14" spans="1:24" ht="15" thickBot="1" x14ac:dyDescent="0.45">
      <c r="C14" t="s">
        <v>390</v>
      </c>
      <c r="H14" t="s">
        <v>391</v>
      </c>
      <c r="L14" s="14" t="s">
        <v>397</v>
      </c>
      <c r="M14" t="s">
        <v>398</v>
      </c>
      <c r="N14" s="14"/>
      <c r="P14" s="7" t="s">
        <v>394</v>
      </c>
      <c r="Q14" s="13"/>
      <c r="U14" t="s">
        <v>395</v>
      </c>
    </row>
    <row r="15" spans="1:24" ht="15" thickBot="1" x14ac:dyDescent="0.45">
      <c r="C15" t="s">
        <v>396</v>
      </c>
      <c r="H15" t="s">
        <v>236</v>
      </c>
      <c r="L15" t="s">
        <v>402</v>
      </c>
      <c r="N15" s="16"/>
      <c r="P15" s="15" t="s">
        <v>403</v>
      </c>
      <c r="Q15" s="13"/>
      <c r="U15" t="s">
        <v>400</v>
      </c>
    </row>
    <row r="16" spans="1:24" x14ac:dyDescent="0.4">
      <c r="C16" t="s">
        <v>149</v>
      </c>
      <c r="H16" t="s">
        <v>401</v>
      </c>
      <c r="L16" s="14" t="s">
        <v>413</v>
      </c>
      <c r="M16" t="s">
        <v>414</v>
      </c>
      <c r="P16" s="13" t="s">
        <v>399</v>
      </c>
      <c r="Q16" s="13"/>
      <c r="U16" t="s">
        <v>404</v>
      </c>
    </row>
    <row r="17" spans="2:21" ht="15" thickBot="1" x14ac:dyDescent="0.45">
      <c r="C17" t="s">
        <v>405</v>
      </c>
      <c r="H17" t="s">
        <v>406</v>
      </c>
      <c r="L17" t="s">
        <v>421</v>
      </c>
      <c r="P17" s="15" t="s">
        <v>382</v>
      </c>
      <c r="Q17" s="13" t="s">
        <v>383</v>
      </c>
      <c r="U17" t="s">
        <v>410</v>
      </c>
    </row>
    <row r="18" spans="2:21" ht="15" thickBot="1" x14ac:dyDescent="0.45">
      <c r="C18" t="s">
        <v>411</v>
      </c>
      <c r="H18" t="s">
        <v>412</v>
      </c>
      <c r="L18" t="s">
        <v>318</v>
      </c>
      <c r="P18" s="15" t="s">
        <v>409</v>
      </c>
      <c r="Q18" s="13"/>
      <c r="U18" t="s">
        <v>648</v>
      </c>
    </row>
    <row r="19" spans="2:21" ht="15" thickBot="1" x14ac:dyDescent="0.45">
      <c r="C19" t="s">
        <v>416</v>
      </c>
      <c r="H19" t="s">
        <v>417</v>
      </c>
      <c r="L19" t="s">
        <v>424</v>
      </c>
      <c r="M19" t="s">
        <v>425</v>
      </c>
      <c r="P19" s="8" t="s">
        <v>415</v>
      </c>
      <c r="Q19" s="13"/>
    </row>
    <row r="20" spans="2:21" ht="15" thickBot="1" x14ac:dyDescent="0.45">
      <c r="C20" t="s">
        <v>420</v>
      </c>
      <c r="H20" t="s">
        <v>357</v>
      </c>
      <c r="L20" t="s">
        <v>379</v>
      </c>
      <c r="M20" t="s">
        <v>380</v>
      </c>
      <c r="P20" s="7" t="s">
        <v>419</v>
      </c>
      <c r="Q20" s="13"/>
    </row>
    <row r="21" spans="2:21" ht="15" thickBot="1" x14ac:dyDescent="0.45">
      <c r="C21" t="s">
        <v>423</v>
      </c>
      <c r="H21" t="s">
        <v>338</v>
      </c>
      <c r="L21" t="s">
        <v>583</v>
      </c>
      <c r="M21" t="s">
        <v>418</v>
      </c>
      <c r="P21" s="7" t="s">
        <v>422</v>
      </c>
      <c r="Q21" s="13"/>
    </row>
    <row r="22" spans="2:21" x14ac:dyDescent="0.4">
      <c r="C22" t="s">
        <v>427</v>
      </c>
      <c r="H22" t="s">
        <v>600</v>
      </c>
      <c r="L22" t="s">
        <v>428</v>
      </c>
      <c r="M22" t="s">
        <v>429</v>
      </c>
      <c r="P22" s="23" t="s">
        <v>426</v>
      </c>
      <c r="Q22" s="13"/>
    </row>
    <row r="23" spans="2:21" x14ac:dyDescent="0.4">
      <c r="C23" t="s">
        <v>647</v>
      </c>
      <c r="H23" t="s">
        <v>617</v>
      </c>
      <c r="L23" t="s">
        <v>431</v>
      </c>
      <c r="P23" s="23" t="s">
        <v>435</v>
      </c>
      <c r="Q23" s="13"/>
    </row>
    <row r="24" spans="2:21" ht="15" thickBot="1" x14ac:dyDescent="0.45">
      <c r="C24" t="s">
        <v>634</v>
      </c>
      <c r="H24" t="s">
        <v>618</v>
      </c>
      <c r="L24" t="s">
        <v>434</v>
      </c>
      <c r="P24" s="7" t="s">
        <v>438</v>
      </c>
      <c r="Q24" s="13"/>
    </row>
    <row r="25" spans="2:21" ht="15" thickBot="1" x14ac:dyDescent="0.45">
      <c r="C25" t="s">
        <v>570</v>
      </c>
      <c r="H25" t="s">
        <v>619</v>
      </c>
      <c r="L25" s="14" t="s">
        <v>604</v>
      </c>
      <c r="M25" s="14" t="s">
        <v>605</v>
      </c>
      <c r="P25" s="8" t="s">
        <v>448</v>
      </c>
      <c r="Q25" s="13" t="s">
        <v>449</v>
      </c>
    </row>
    <row r="26" spans="2:21" ht="15" thickBot="1" x14ac:dyDescent="0.45">
      <c r="C26" t="s">
        <v>79</v>
      </c>
      <c r="H26" t="s">
        <v>85</v>
      </c>
      <c r="L26" s="14" t="s">
        <v>436</v>
      </c>
      <c r="M26" t="s">
        <v>437</v>
      </c>
      <c r="P26" s="15" t="s">
        <v>444</v>
      </c>
      <c r="Q26" s="13" t="s">
        <v>445</v>
      </c>
    </row>
    <row r="27" spans="2:21" x14ac:dyDescent="0.4">
      <c r="H27" t="s">
        <v>571</v>
      </c>
      <c r="L27" t="s">
        <v>439</v>
      </c>
      <c r="M27" t="s">
        <v>440</v>
      </c>
      <c r="P27" t="s">
        <v>585</v>
      </c>
      <c r="Q27" s="13" t="s">
        <v>430</v>
      </c>
    </row>
    <row r="28" spans="2:21" ht="15" thickBot="1" x14ac:dyDescent="0.45">
      <c r="H28" t="s">
        <v>635</v>
      </c>
      <c r="L28" t="s">
        <v>443</v>
      </c>
      <c r="P28" s="15" t="s">
        <v>452</v>
      </c>
      <c r="Q28" s="13"/>
    </row>
    <row r="29" spans="2:21" ht="15" thickBot="1" x14ac:dyDescent="0.45">
      <c r="B29" s="17" t="s">
        <v>450</v>
      </c>
      <c r="C29" s="17" t="s">
        <v>451</v>
      </c>
      <c r="D29" s="18"/>
      <c r="E29" s="18"/>
      <c r="L29" t="s">
        <v>446</v>
      </c>
      <c r="M29" t="s">
        <v>447</v>
      </c>
      <c r="P29" s="7" t="s">
        <v>455</v>
      </c>
      <c r="Q29" s="13"/>
    </row>
    <row r="30" spans="2:21" ht="15" thickBot="1" x14ac:dyDescent="0.45">
      <c r="B30" s="17" t="s">
        <v>453</v>
      </c>
      <c r="C30" s="17"/>
      <c r="D30" s="18"/>
      <c r="E30" s="18"/>
      <c r="L30" t="s">
        <v>331</v>
      </c>
      <c r="P30" s="8" t="s">
        <v>459</v>
      </c>
      <c r="Q30" s="13"/>
    </row>
    <row r="31" spans="2:21" ht="15" thickBot="1" x14ac:dyDescent="0.45">
      <c r="B31" s="18" t="s">
        <v>456</v>
      </c>
      <c r="C31" s="18"/>
      <c r="D31" s="18"/>
      <c r="E31" s="18"/>
      <c r="L31" t="s">
        <v>454</v>
      </c>
      <c r="P31" s="15" t="s">
        <v>478</v>
      </c>
      <c r="Q31" s="13"/>
    </row>
    <row r="32" spans="2:21" ht="15" thickBot="1" x14ac:dyDescent="0.45">
      <c r="B32" s="18" t="s">
        <v>460</v>
      </c>
      <c r="C32" s="18"/>
      <c r="D32" s="18"/>
      <c r="E32" s="18"/>
      <c r="L32" t="s">
        <v>457</v>
      </c>
      <c r="M32" t="s">
        <v>458</v>
      </c>
      <c r="P32" s="8" t="s">
        <v>441</v>
      </c>
      <c r="Q32" s="13" t="s">
        <v>442</v>
      </c>
    </row>
    <row r="33" spans="2:17" x14ac:dyDescent="0.4">
      <c r="B33" s="18" t="s">
        <v>464</v>
      </c>
      <c r="C33" s="18"/>
      <c r="D33" s="18"/>
      <c r="E33" s="18"/>
      <c r="L33" t="s">
        <v>461</v>
      </c>
      <c r="N33" s="14"/>
      <c r="P33" s="23" t="s">
        <v>462</v>
      </c>
      <c r="Q33" s="13" t="s">
        <v>463</v>
      </c>
    </row>
    <row r="34" spans="2:17" ht="15" thickBot="1" x14ac:dyDescent="0.45">
      <c r="B34" s="18" t="s">
        <v>468</v>
      </c>
      <c r="C34" s="18"/>
      <c r="D34" s="18"/>
      <c r="E34" s="18"/>
      <c r="L34" t="s">
        <v>465</v>
      </c>
      <c r="M34" s="14"/>
      <c r="N34" s="14"/>
      <c r="P34" s="15" t="s">
        <v>466</v>
      </c>
      <c r="Q34" s="13" t="s">
        <v>467</v>
      </c>
    </row>
    <row r="35" spans="2:17" ht="15" thickBot="1" x14ac:dyDescent="0.45">
      <c r="B35" s="18" t="s">
        <v>471</v>
      </c>
      <c r="C35" s="18"/>
      <c r="D35" s="18"/>
      <c r="E35" s="18"/>
      <c r="L35" s="14" t="s">
        <v>469</v>
      </c>
      <c r="M35" s="14"/>
      <c r="N35" s="14"/>
      <c r="P35" s="7" t="s">
        <v>470</v>
      </c>
      <c r="Q35" s="13"/>
    </row>
    <row r="36" spans="2:17" ht="15" thickBot="1" x14ac:dyDescent="0.45">
      <c r="B36" s="19" t="s">
        <v>474</v>
      </c>
      <c r="C36" s="18"/>
      <c r="D36" s="18"/>
      <c r="E36" s="18"/>
      <c r="L36" s="14" t="s">
        <v>472</v>
      </c>
      <c r="M36" s="14"/>
      <c r="P36" s="8" t="s">
        <v>473</v>
      </c>
      <c r="Q36" s="13"/>
    </row>
    <row r="37" spans="2:17" x14ac:dyDescent="0.4">
      <c r="B37" s="18"/>
      <c r="C37" s="18"/>
      <c r="D37" s="18"/>
      <c r="E37" s="18"/>
      <c r="L37" s="14" t="s">
        <v>475</v>
      </c>
      <c r="N37" s="14"/>
      <c r="P37" s="13" t="s">
        <v>476</v>
      </c>
      <c r="Q37" s="13"/>
    </row>
    <row r="38" spans="2:17" ht="15" thickBot="1" x14ac:dyDescent="0.45">
      <c r="B38" s="18" t="s">
        <v>479</v>
      </c>
      <c r="C38" s="18"/>
      <c r="D38" s="18"/>
      <c r="E38" s="18"/>
      <c r="L38" t="s">
        <v>477</v>
      </c>
      <c r="N38" s="14"/>
      <c r="P38" s="7" t="s">
        <v>482</v>
      </c>
      <c r="Q38" s="13"/>
    </row>
    <row r="39" spans="2:17" ht="15" thickBot="1" x14ac:dyDescent="0.45">
      <c r="L39" s="14" t="s">
        <v>480</v>
      </c>
      <c r="M39" s="14" t="s">
        <v>481</v>
      </c>
      <c r="P39" s="7" t="s">
        <v>484</v>
      </c>
      <c r="Q39" s="13"/>
    </row>
    <row r="40" spans="2:17" ht="15" thickBot="1" x14ac:dyDescent="0.45">
      <c r="L40" s="14" t="s">
        <v>483</v>
      </c>
      <c r="M40" s="14"/>
      <c r="N40" s="14"/>
      <c r="P40" s="8" t="s">
        <v>486</v>
      </c>
      <c r="Q40" s="13"/>
    </row>
    <row r="41" spans="2:17" ht="15" thickBot="1" x14ac:dyDescent="0.45">
      <c r="L41" s="14" t="s">
        <v>485</v>
      </c>
      <c r="M41" s="14"/>
      <c r="N41" s="14"/>
      <c r="P41" s="8" t="s">
        <v>489</v>
      </c>
      <c r="Q41" s="13"/>
    </row>
    <row r="42" spans="2:17" ht="15" thickBot="1" x14ac:dyDescent="0.45">
      <c r="L42" s="14" t="s">
        <v>487</v>
      </c>
      <c r="M42" s="14" t="s">
        <v>488</v>
      </c>
      <c r="N42" s="14"/>
      <c r="P42" s="7" t="s">
        <v>491</v>
      </c>
      <c r="Q42" s="13"/>
    </row>
    <row r="43" spans="2:17" ht="15" thickBot="1" x14ac:dyDescent="0.45">
      <c r="L43" t="s">
        <v>596</v>
      </c>
      <c r="M43" t="s">
        <v>599</v>
      </c>
      <c r="N43" s="14"/>
      <c r="P43" s="8" t="s">
        <v>494</v>
      </c>
      <c r="Q43" s="13"/>
    </row>
    <row r="44" spans="2:17" ht="15" thickBot="1" x14ac:dyDescent="0.45">
      <c r="L44" s="14" t="s">
        <v>490</v>
      </c>
      <c r="P44" s="7" t="s">
        <v>496</v>
      </c>
      <c r="Q44" s="13"/>
    </row>
    <row r="45" spans="2:17" ht="15" thickBot="1" x14ac:dyDescent="0.45">
      <c r="L45" s="14" t="s">
        <v>492</v>
      </c>
      <c r="M45" t="s">
        <v>493</v>
      </c>
      <c r="P45" s="7" t="s">
        <v>503</v>
      </c>
      <c r="Q45" s="13"/>
    </row>
    <row r="46" spans="2:17" x14ac:dyDescent="0.4">
      <c r="L46" t="s">
        <v>495</v>
      </c>
      <c r="M46" s="14"/>
      <c r="P46" t="s">
        <v>603</v>
      </c>
      <c r="Q46" s="13" t="s">
        <v>606</v>
      </c>
    </row>
    <row r="47" spans="2:17" ht="15" thickBot="1" x14ac:dyDescent="0.45">
      <c r="L47" s="14" t="s">
        <v>497</v>
      </c>
      <c r="M47" s="14"/>
      <c r="P47" s="7" t="s">
        <v>505</v>
      </c>
      <c r="Q47" s="13"/>
    </row>
    <row r="48" spans="2:17" ht="15" thickBot="1" x14ac:dyDescent="0.45">
      <c r="L48" s="14" t="s">
        <v>499</v>
      </c>
      <c r="M48" s="14" t="s">
        <v>500</v>
      </c>
      <c r="P48" s="8" t="s">
        <v>507</v>
      </c>
      <c r="Q48" s="13"/>
    </row>
    <row r="49" spans="10:17" ht="15" thickBot="1" x14ac:dyDescent="0.45">
      <c r="L49" s="14" t="s">
        <v>502</v>
      </c>
      <c r="M49" s="14" t="s">
        <v>500</v>
      </c>
      <c r="P49" s="8" t="s">
        <v>509</v>
      </c>
      <c r="Q49" s="13"/>
    </row>
    <row r="50" spans="10:17" ht="15" thickBot="1" x14ac:dyDescent="0.45">
      <c r="L50" s="14" t="s">
        <v>504</v>
      </c>
      <c r="M50" s="14"/>
      <c r="P50" s="20" t="s">
        <v>511</v>
      </c>
      <c r="Q50" s="13" t="s">
        <v>512</v>
      </c>
    </row>
    <row r="51" spans="10:17" ht="15" thickBot="1" x14ac:dyDescent="0.45">
      <c r="L51" t="s">
        <v>521</v>
      </c>
      <c r="M51" t="s">
        <v>522</v>
      </c>
      <c r="P51" s="7" t="s">
        <v>513</v>
      </c>
      <c r="Q51" s="13"/>
    </row>
    <row r="52" spans="10:17" ht="15" thickBot="1" x14ac:dyDescent="0.45">
      <c r="L52" s="14" t="s">
        <v>506</v>
      </c>
      <c r="P52" s="8" t="s">
        <v>515</v>
      </c>
      <c r="Q52" s="13"/>
    </row>
    <row r="53" spans="10:17" ht="15" thickBot="1" x14ac:dyDescent="0.45">
      <c r="L53" t="s">
        <v>352</v>
      </c>
      <c r="M53" t="s">
        <v>508</v>
      </c>
      <c r="P53" s="15" t="s">
        <v>586</v>
      </c>
      <c r="Q53" s="13" t="s">
        <v>501</v>
      </c>
    </row>
    <row r="54" spans="10:17" ht="15" thickBot="1" x14ac:dyDescent="0.45">
      <c r="L54" t="s">
        <v>510</v>
      </c>
      <c r="P54" s="7" t="s">
        <v>587</v>
      </c>
      <c r="Q54" s="13" t="s">
        <v>498</v>
      </c>
    </row>
    <row r="55" spans="10:17" ht="15" thickBot="1" x14ac:dyDescent="0.45">
      <c r="J55" s="14"/>
      <c r="L55" t="s">
        <v>514</v>
      </c>
      <c r="N55" s="14"/>
      <c r="P55" s="8" t="s">
        <v>518</v>
      </c>
      <c r="Q55" s="13"/>
    </row>
    <row r="56" spans="10:17" ht="15" thickBot="1" x14ac:dyDescent="0.45">
      <c r="J56" s="14"/>
      <c r="L56" t="s">
        <v>516</v>
      </c>
      <c r="M56" t="s">
        <v>517</v>
      </c>
      <c r="N56" s="14"/>
      <c r="P56" s="7" t="s">
        <v>520</v>
      </c>
      <c r="Q56" s="13"/>
    </row>
    <row r="57" spans="10:17" ht="15" thickBot="1" x14ac:dyDescent="0.45">
      <c r="J57" s="14"/>
      <c r="L57" s="14" t="s">
        <v>519</v>
      </c>
      <c r="M57" s="14"/>
      <c r="N57" s="14"/>
      <c r="P57" s="8" t="s">
        <v>523</v>
      </c>
      <c r="Q57" s="13"/>
    </row>
    <row r="58" spans="10:17" ht="15" thickBot="1" x14ac:dyDescent="0.45">
      <c r="J58" s="14"/>
      <c r="L58" t="s">
        <v>524</v>
      </c>
      <c r="N58" s="14"/>
      <c r="P58" s="8" t="s">
        <v>525</v>
      </c>
      <c r="Q58" s="13"/>
    </row>
    <row r="59" spans="10:17" ht="15" thickBot="1" x14ac:dyDescent="0.45">
      <c r="J59" s="14"/>
      <c r="L59" t="s">
        <v>526</v>
      </c>
      <c r="N59" s="14"/>
      <c r="P59" s="8" t="s">
        <v>527</v>
      </c>
      <c r="Q59" s="13"/>
    </row>
    <row r="60" spans="10:17" x14ac:dyDescent="0.4">
      <c r="J60" s="14"/>
      <c r="L60" t="s">
        <v>368</v>
      </c>
      <c r="N60" s="14"/>
      <c r="P60" s="23" t="s">
        <v>528</v>
      </c>
      <c r="Q60" s="13"/>
    </row>
    <row r="61" spans="10:17" ht="15" thickBot="1" x14ac:dyDescent="0.45">
      <c r="J61" s="14"/>
      <c r="L61" t="s">
        <v>536</v>
      </c>
      <c r="M61" t="s">
        <v>537</v>
      </c>
      <c r="N61" s="14"/>
      <c r="P61" s="7" t="s">
        <v>532</v>
      </c>
      <c r="Q61" s="13"/>
    </row>
    <row r="62" spans="10:17" ht="15" thickBot="1" x14ac:dyDescent="0.45">
      <c r="L62" t="s">
        <v>529</v>
      </c>
      <c r="P62" s="7" t="s">
        <v>533</v>
      </c>
      <c r="Q62" s="13"/>
    </row>
    <row r="63" spans="10:17" ht="15" thickBot="1" x14ac:dyDescent="0.45">
      <c r="L63" t="s">
        <v>373</v>
      </c>
      <c r="P63" s="7" t="s">
        <v>535</v>
      </c>
      <c r="Q63" s="13"/>
    </row>
    <row r="64" spans="10:17" ht="15" thickBot="1" x14ac:dyDescent="0.45">
      <c r="L64" t="s">
        <v>381</v>
      </c>
      <c r="P64" s="15" t="s">
        <v>530</v>
      </c>
      <c r="Q64" s="13" t="s">
        <v>531</v>
      </c>
    </row>
    <row r="65" spans="10:17" x14ac:dyDescent="0.4">
      <c r="L65" s="14" t="s">
        <v>534</v>
      </c>
      <c r="P65" s="23" t="s">
        <v>538</v>
      </c>
      <c r="Q65" s="13"/>
    </row>
    <row r="66" spans="10:17" ht="15" thickBot="1" x14ac:dyDescent="0.45">
      <c r="P66" s="8" t="s">
        <v>540</v>
      </c>
      <c r="Q66" s="13"/>
    </row>
    <row r="67" spans="10:17" ht="15" thickBot="1" x14ac:dyDescent="0.45">
      <c r="J67" s="21" t="s">
        <v>541</v>
      </c>
      <c r="K67" s="22" t="s">
        <v>542</v>
      </c>
      <c r="L67" s="12" t="s">
        <v>543</v>
      </c>
      <c r="M67" s="12" t="s">
        <v>40</v>
      </c>
      <c r="P67" s="8" t="s">
        <v>544</v>
      </c>
      <c r="Q67" s="13"/>
    </row>
    <row r="68" spans="10:17" ht="15" thickBot="1" x14ac:dyDescent="0.45">
      <c r="J68" s="12" t="s">
        <v>545</v>
      </c>
      <c r="K68" s="12">
        <v>2</v>
      </c>
      <c r="L68" s="12" t="s">
        <v>397</v>
      </c>
      <c r="M68" s="12" t="s">
        <v>546</v>
      </c>
      <c r="P68" s="8" t="s">
        <v>547</v>
      </c>
      <c r="Q68" s="13"/>
    </row>
    <row r="69" spans="10:17" x14ac:dyDescent="0.4">
      <c r="J69" s="12" t="s">
        <v>548</v>
      </c>
      <c r="K69" s="12">
        <v>1</v>
      </c>
      <c r="L69" s="12" t="s">
        <v>549</v>
      </c>
      <c r="M69" s="12" t="s">
        <v>550</v>
      </c>
      <c r="P69" t="s">
        <v>539</v>
      </c>
      <c r="Q69" s="13"/>
    </row>
    <row r="70" spans="10:17" x14ac:dyDescent="0.4">
      <c r="J70" s="12" t="s">
        <v>552</v>
      </c>
      <c r="K70" s="12">
        <v>3</v>
      </c>
      <c r="L70" s="12" t="s">
        <v>439</v>
      </c>
      <c r="M70" s="12"/>
      <c r="P70" s="23" t="s">
        <v>551</v>
      </c>
      <c r="Q70" s="13"/>
    </row>
    <row r="71" spans="10:17" x14ac:dyDescent="0.4">
      <c r="J71" s="12"/>
      <c r="K71" s="12"/>
      <c r="L71" s="12"/>
      <c r="M71" s="12"/>
      <c r="P71" s="13" t="s">
        <v>553</v>
      </c>
      <c r="Q71" s="13"/>
    </row>
    <row r="72" spans="10:17" x14ac:dyDescent="0.4">
      <c r="J72" s="12"/>
      <c r="K72" s="12"/>
      <c r="L72" s="12"/>
      <c r="M72" s="12"/>
    </row>
    <row r="73" spans="10:17" x14ac:dyDescent="0.4">
      <c r="J73" s="21" t="s">
        <v>554</v>
      </c>
      <c r="K73" s="22" t="s">
        <v>542</v>
      </c>
      <c r="L73" s="12" t="s">
        <v>555</v>
      </c>
      <c r="M73" s="12" t="s">
        <v>40</v>
      </c>
    </row>
    <row r="74" spans="10:17" x14ac:dyDescent="0.4">
      <c r="J74" s="12" t="s">
        <v>290</v>
      </c>
      <c r="K74" s="12">
        <v>3</v>
      </c>
      <c r="L74" s="12" t="s">
        <v>290</v>
      </c>
      <c r="M74" s="12"/>
    </row>
    <row r="75" spans="10:17" x14ac:dyDescent="0.4">
      <c r="J75" s="12" t="s">
        <v>291</v>
      </c>
      <c r="K75" s="12">
        <v>1</v>
      </c>
      <c r="L75" s="12" t="s">
        <v>291</v>
      </c>
      <c r="M75" s="12"/>
    </row>
    <row r="76" spans="10:17" x14ac:dyDescent="0.4">
      <c r="J76" s="12" t="s">
        <v>307</v>
      </c>
      <c r="K76" s="12">
        <v>2</v>
      </c>
      <c r="L76" s="12" t="s">
        <v>307</v>
      </c>
      <c r="M76" s="12"/>
    </row>
    <row r="77" spans="10:17" x14ac:dyDescent="0.4">
      <c r="J77" s="12" t="s">
        <v>319</v>
      </c>
      <c r="K77" s="12">
        <v>3</v>
      </c>
      <c r="L77" s="12" t="s">
        <v>424</v>
      </c>
      <c r="M77" s="12"/>
    </row>
    <row r="78" spans="10:17" x14ac:dyDescent="0.4">
      <c r="J78" s="12" t="s">
        <v>331</v>
      </c>
      <c r="K78" s="12">
        <v>1</v>
      </c>
      <c r="L78" s="12" t="s">
        <v>331</v>
      </c>
      <c r="M78" s="12"/>
    </row>
    <row r="79" spans="10:17" x14ac:dyDescent="0.4">
      <c r="J79" s="12" t="s">
        <v>340</v>
      </c>
      <c r="K79" s="12">
        <v>1</v>
      </c>
      <c r="L79" s="12" t="s">
        <v>340</v>
      </c>
      <c r="M79" s="12"/>
    </row>
    <row r="80" spans="10:17" x14ac:dyDescent="0.4">
      <c r="J80" s="12" t="s">
        <v>352</v>
      </c>
      <c r="K80" s="12">
        <v>1</v>
      </c>
      <c r="L80" s="12" t="s">
        <v>352</v>
      </c>
      <c r="M80" s="12"/>
    </row>
    <row r="81" spans="10:13" x14ac:dyDescent="0.4">
      <c r="J81" s="12" t="s">
        <v>510</v>
      </c>
      <c r="K81" s="12">
        <v>1</v>
      </c>
      <c r="L81" s="12" t="s">
        <v>510</v>
      </c>
      <c r="M81" s="12"/>
    </row>
    <row r="82" spans="10:13" x14ac:dyDescent="0.4">
      <c r="J82" s="12" t="s">
        <v>359</v>
      </c>
      <c r="K82" s="12">
        <v>2</v>
      </c>
      <c r="L82" s="12" t="s">
        <v>526</v>
      </c>
      <c r="M82" s="12"/>
    </row>
    <row r="83" spans="10:13" x14ac:dyDescent="0.4">
      <c r="J83" s="12" t="s">
        <v>368</v>
      </c>
      <c r="K83" s="12">
        <v>1</v>
      </c>
      <c r="L83" s="12" t="s">
        <v>368</v>
      </c>
      <c r="M83" s="12"/>
    </row>
    <row r="84" spans="10:13" x14ac:dyDescent="0.4">
      <c r="J84" s="12" t="s">
        <v>373</v>
      </c>
      <c r="K84" s="12">
        <v>1</v>
      </c>
      <c r="L84" s="12" t="s">
        <v>373</v>
      </c>
      <c r="M84" s="12"/>
    </row>
    <row r="85" spans="10:13" x14ac:dyDescent="0.4">
      <c r="J85" s="12" t="s">
        <v>381</v>
      </c>
      <c r="K85" s="12">
        <v>1</v>
      </c>
      <c r="L85" s="12" t="s">
        <v>381</v>
      </c>
      <c r="M85" s="12"/>
    </row>
    <row r="86" spans="10:13" x14ac:dyDescent="0.4">
      <c r="J86" s="12"/>
      <c r="K86" s="12"/>
      <c r="L86" s="12"/>
      <c r="M86" s="12"/>
    </row>
    <row r="87" spans="10:13" x14ac:dyDescent="0.4">
      <c r="J87" s="21" t="s">
        <v>556</v>
      </c>
      <c r="K87" s="22" t="s">
        <v>542</v>
      </c>
      <c r="L87" s="12" t="s">
        <v>543</v>
      </c>
      <c r="M87" s="12" t="s">
        <v>40</v>
      </c>
    </row>
    <row r="88" spans="10:13" x14ac:dyDescent="0.4">
      <c r="J88" s="12" t="s">
        <v>557</v>
      </c>
      <c r="K88" s="12">
        <v>8</v>
      </c>
      <c r="L88" s="12" t="s">
        <v>558</v>
      </c>
      <c r="M88" s="12"/>
    </row>
    <row r="89" spans="10:13" x14ac:dyDescent="0.4">
      <c r="J89" s="12" t="s">
        <v>559</v>
      </c>
      <c r="K89" s="12">
        <v>9</v>
      </c>
      <c r="L89" s="12" t="s">
        <v>560</v>
      </c>
      <c r="M89" s="12"/>
    </row>
    <row r="90" spans="10:13" x14ac:dyDescent="0.4">
      <c r="J90" s="12" t="s">
        <v>561</v>
      </c>
      <c r="K90" s="12">
        <v>9</v>
      </c>
      <c r="L90" s="12" t="s">
        <v>562</v>
      </c>
      <c r="M90" s="12"/>
    </row>
    <row r="91" spans="10:13" x14ac:dyDescent="0.4">
      <c r="J91" s="12" t="s">
        <v>426</v>
      </c>
      <c r="K91" s="12">
        <v>7</v>
      </c>
      <c r="L91" s="12" t="s">
        <v>563</v>
      </c>
      <c r="M91" s="12"/>
    </row>
    <row r="92" spans="10:13" x14ac:dyDescent="0.4">
      <c r="J92" s="12" t="s">
        <v>564</v>
      </c>
      <c r="K92" s="12">
        <v>1</v>
      </c>
      <c r="L92" s="12" t="s">
        <v>448</v>
      </c>
      <c r="M92" s="12"/>
    </row>
    <row r="93" spans="10:13" x14ac:dyDescent="0.4">
      <c r="J93" s="12" t="s">
        <v>565</v>
      </c>
      <c r="K93" s="12">
        <v>1</v>
      </c>
      <c r="L93" s="12" t="s">
        <v>532</v>
      </c>
      <c r="M93" s="12"/>
    </row>
    <row r="94" spans="10:13" x14ac:dyDescent="0.4">
      <c r="J94" s="12" t="s">
        <v>566</v>
      </c>
      <c r="K94" s="12">
        <v>4</v>
      </c>
      <c r="L94" s="12" t="s">
        <v>535</v>
      </c>
      <c r="M94" s="12"/>
    </row>
    <row r="95" spans="10:13" x14ac:dyDescent="0.4">
      <c r="J95" s="12" t="s">
        <v>567</v>
      </c>
      <c r="K95" s="12">
        <v>1</v>
      </c>
      <c r="L95" s="12" t="s">
        <v>538</v>
      </c>
      <c r="M95" s="12"/>
    </row>
    <row r="96" spans="10:13" x14ac:dyDescent="0.4">
      <c r="J96" s="12" t="s">
        <v>568</v>
      </c>
      <c r="K96" s="12">
        <v>1</v>
      </c>
      <c r="L96" s="12" t="s">
        <v>569</v>
      </c>
      <c r="M96" s="12"/>
    </row>
  </sheetData>
  <autoFilter ref="A1:A5" xr:uid="{C7375062-C64D-4373-8EAD-8E4324591392}">
    <sortState xmlns:xlrd2="http://schemas.microsoft.com/office/spreadsheetml/2017/richdata2" ref="A2:A5">
      <sortCondition ref="A1"/>
    </sortState>
  </autoFilter>
  <conditionalFormatting sqref="B29:B30">
    <cfRule type="dataBar" priority="4">
      <dataBar>
        <cfvo type="min"/>
        <cfvo type="max"/>
        <color rgb="FF008AEF"/>
      </dataBar>
      <extLst>
        <ext xmlns:x14="http://schemas.microsoft.com/office/spreadsheetml/2009/9/main" uri="{B025F937-C7B1-47D3-B67F-A62EFF666E3E}">
          <x14:id>{D79C3C08-A23D-45BF-BDF5-A4CD1EDD4536}</x14:id>
        </ext>
      </extLst>
    </cfRule>
  </conditionalFormatting>
  <conditionalFormatting sqref="M67 L68">
    <cfRule type="dataBar" priority="3">
      <dataBar>
        <cfvo type="min"/>
        <cfvo type="max"/>
        <color rgb="FF63C384"/>
      </dataBar>
      <extLst>
        <ext xmlns:x14="http://schemas.microsoft.com/office/spreadsheetml/2009/9/main" uri="{B025F937-C7B1-47D3-B67F-A62EFF666E3E}">
          <x14:id>{F98F667F-8AF7-45A3-BCC0-21A8A5D1ADA1}</x14:id>
        </ext>
      </extLst>
    </cfRule>
  </conditionalFormatting>
  <conditionalFormatting sqref="M73">
    <cfRule type="dataBar" priority="2">
      <dataBar>
        <cfvo type="min"/>
        <cfvo type="max"/>
        <color rgb="FF63C384"/>
      </dataBar>
      <extLst>
        <ext xmlns:x14="http://schemas.microsoft.com/office/spreadsheetml/2009/9/main" uri="{B025F937-C7B1-47D3-B67F-A62EFF666E3E}">
          <x14:id>{48F2CC15-1B76-4107-A130-20C6B4A22D79}</x14:id>
        </ext>
      </extLst>
    </cfRule>
  </conditionalFormatting>
  <conditionalFormatting sqref="M87">
    <cfRule type="dataBar" priority="1">
      <dataBar>
        <cfvo type="min"/>
        <cfvo type="max"/>
        <color rgb="FF63C384"/>
      </dataBar>
      <extLst>
        <ext xmlns:x14="http://schemas.microsoft.com/office/spreadsheetml/2009/9/main" uri="{B025F937-C7B1-47D3-B67F-A62EFF666E3E}">
          <x14:id>{0335FD84-BD95-4D50-B147-C8FA70D94788}</x14:id>
        </ext>
      </extLst>
    </cfRule>
  </conditionalFormatting>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extLst>
    <ext xmlns:x14="http://schemas.microsoft.com/office/spreadsheetml/2009/9/main" uri="{78C0D931-6437-407d-A8EE-F0AAD7539E65}">
      <x14:conditionalFormattings>
        <x14:conditionalFormatting xmlns:xm="http://schemas.microsoft.com/office/excel/2006/main">
          <x14:cfRule type="dataBar" id="{D79C3C08-A23D-45BF-BDF5-A4CD1EDD4536}">
            <x14:dataBar minLength="0" maxLength="100" gradient="0">
              <x14:cfvo type="autoMin"/>
              <x14:cfvo type="autoMax"/>
              <x14:negativeFillColor rgb="FFFF0000"/>
              <x14:axisColor rgb="FF000000"/>
            </x14:dataBar>
          </x14:cfRule>
          <xm:sqref>B29:B30</xm:sqref>
        </x14:conditionalFormatting>
        <x14:conditionalFormatting xmlns:xm="http://schemas.microsoft.com/office/excel/2006/main">
          <x14:cfRule type="dataBar" id="{F98F667F-8AF7-45A3-BCC0-21A8A5D1ADA1}">
            <x14:dataBar minLength="0" maxLength="100" gradient="0">
              <x14:cfvo type="autoMin"/>
              <x14:cfvo type="autoMax"/>
              <x14:negativeFillColor rgb="FFFF0000"/>
              <x14:axisColor rgb="FF000000"/>
            </x14:dataBar>
          </x14:cfRule>
          <xm:sqref>M67 L68</xm:sqref>
        </x14:conditionalFormatting>
        <x14:conditionalFormatting xmlns:xm="http://schemas.microsoft.com/office/excel/2006/main">
          <x14:cfRule type="dataBar" id="{48F2CC15-1B76-4107-A130-20C6B4A22D79}">
            <x14:dataBar minLength="0" maxLength="100" gradient="0">
              <x14:cfvo type="autoMin"/>
              <x14:cfvo type="autoMax"/>
              <x14:negativeFillColor rgb="FFFF0000"/>
              <x14:axisColor rgb="FF000000"/>
            </x14:dataBar>
          </x14:cfRule>
          <xm:sqref>M73</xm:sqref>
        </x14:conditionalFormatting>
        <x14:conditionalFormatting xmlns:xm="http://schemas.microsoft.com/office/excel/2006/main">
          <x14:cfRule type="dataBar" id="{0335FD84-BD95-4D50-B147-C8FA70D94788}">
            <x14:dataBar minLength="0" maxLength="100" gradient="0">
              <x14:cfvo type="autoMin"/>
              <x14:cfvo type="autoMax"/>
              <x14:negativeFillColor rgb="FFFF0000"/>
              <x14:axisColor rgb="FF000000"/>
            </x14:dataBar>
          </x14:cfRule>
          <xm:sqref>M87</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B7F65B25344CC47849A91FD628B10BD" ma:contentTypeVersion="16" ma:contentTypeDescription="Een nieuw document maken." ma:contentTypeScope="" ma:versionID="45bc50e9c41ca360f5cff47a13325e98">
  <xsd:schema xmlns:xsd="http://www.w3.org/2001/XMLSchema" xmlns:xs="http://www.w3.org/2001/XMLSchema" xmlns:p="http://schemas.microsoft.com/office/2006/metadata/properties" xmlns:ns3="024b7f7f-dff1-411f-b211-75ee0ccd1ac0" xmlns:ns4="f15d149d-abb1-4532-8380-d462b3268d03" targetNamespace="http://schemas.microsoft.com/office/2006/metadata/properties" ma:root="true" ma:fieldsID="5ef3248c8becd41fcc1e87664355d8e0" ns3:_="" ns4:_="">
    <xsd:import namespace="024b7f7f-dff1-411f-b211-75ee0ccd1ac0"/>
    <xsd:import namespace="f15d149d-abb1-4532-8380-d462b3268d03"/>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DateTaken" minOccurs="0"/>
                <xsd:element ref="ns3:MediaServiceLocation" minOccurs="0"/>
                <xsd:element ref="ns3:MediaServiceOCR" minOccurs="0"/>
                <xsd:element ref="ns3:_activity" minOccurs="0"/>
                <xsd:element ref="ns3:MediaServiceObjectDetectorVersions" minOccurs="0"/>
                <xsd:element ref="ns3:MediaLengthInSeconds" minOccurs="0"/>
                <xsd:element ref="ns3:MediaServiceSystemTags" minOccurs="0"/>
                <xsd:element ref="ns3:MediaServiceSearchPropertie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24b7f7f-dff1-411f-b211-75ee0ccd1ac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Location" ma:index="14" nillable="true" ma:displayName="Location" ma:indexed="true"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_activity" ma:index="16" nillable="true" ma:displayName="_activity" ma:hidden="true" ma:internalName="_activity">
      <xsd:simpleType>
        <xsd:restriction base="dms:Note"/>
      </xsd:simpleType>
    </xsd:element>
    <xsd:element name="MediaServiceObjectDetectorVersions" ma:index="17" nillable="true" ma:displayName="MediaServiceObjectDetectorVersions" ma:hidden="true" ma:indexed="true" ma:internalName="MediaServiceObjectDetectorVersions"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SystemTags" ma:index="19" nillable="true" ma:displayName="MediaServiceSystemTags" ma:hidden="true" ma:internalName="MediaServiceSystemTags" ma:readOnly="true">
      <xsd:simpleType>
        <xsd:restriction base="dms:Note"/>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15d149d-abb1-4532-8380-d462b3268d03" elementFormDefault="qualified">
    <xsd:import namespace="http://schemas.microsoft.com/office/2006/documentManagement/types"/>
    <xsd:import namespace="http://schemas.microsoft.com/office/infopath/2007/PartnerControls"/>
    <xsd:element name="SharedWithUsers" ma:index="21"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Gedeeld met details" ma:internalName="SharedWithDetails" ma:readOnly="true">
      <xsd:simpleType>
        <xsd:restriction base="dms:Note">
          <xsd:maxLength value="255"/>
        </xsd:restriction>
      </xsd:simpleType>
    </xsd:element>
    <xsd:element name="SharingHintHash" ma:index="23" nillable="true" ma:displayName="Hint-hash delen"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024b7f7f-dff1-411f-b211-75ee0ccd1ac0" xsi:nil="true"/>
  </documentManagement>
</p:properties>
</file>

<file path=customXml/itemProps1.xml><?xml version="1.0" encoding="utf-8"?>
<ds:datastoreItem xmlns:ds="http://schemas.openxmlformats.org/officeDocument/2006/customXml" ds:itemID="{38716B65-138A-45EF-81F0-DDA5AB449B4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24b7f7f-dff1-411f-b211-75ee0ccd1ac0"/>
    <ds:schemaRef ds:uri="f15d149d-abb1-4532-8380-d462b3268d0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A6951E1-0C7D-4CF0-A97C-1E58CB5D91C3}">
  <ds:schemaRefs>
    <ds:schemaRef ds:uri="http://schemas.microsoft.com/sharepoint/v3/contenttype/forms"/>
  </ds:schemaRefs>
</ds:datastoreItem>
</file>

<file path=customXml/itemProps3.xml><?xml version="1.0" encoding="utf-8"?>
<ds:datastoreItem xmlns:ds="http://schemas.openxmlformats.org/officeDocument/2006/customXml" ds:itemID="{00F67944-172C-4940-AA71-A1CFB5E0362B}">
  <ds:schemaRefs>
    <ds:schemaRef ds:uri="http://schemas.openxmlformats.org/package/2006/metadata/core-properties"/>
    <ds:schemaRef ds:uri="http://purl.org/dc/terms/"/>
    <ds:schemaRef ds:uri="http://purl.org/dc/elements/1.1/"/>
    <ds:schemaRef ds:uri="http://schemas.microsoft.com/office/infopath/2007/PartnerControls"/>
    <ds:schemaRef ds:uri="http://purl.org/dc/dcmitype/"/>
    <ds:schemaRef ds:uri="http://schemas.microsoft.com/office/2006/metadata/properties"/>
    <ds:schemaRef ds:uri="http://schemas.microsoft.com/office/2006/documentManagement/types"/>
    <ds:schemaRef ds:uri="024b7f7f-dff1-411f-b211-75ee0ccd1ac0"/>
    <ds:schemaRef ds:uri="f15d149d-abb1-4532-8380-d462b3268d03"/>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Codebook_Transport</vt:lpstr>
      <vt:lpstr>list_updated</vt:lpstr>
      <vt:lpstr>Extraction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Raghunathan, Vignesh</dc:creator>
  <cp:keywords/>
  <dc:description/>
  <cp:lastModifiedBy>Raghunathan, Vignesh</cp:lastModifiedBy>
  <cp:revision/>
  <cp:lastPrinted>2024-05-17T07:31:30Z</cp:lastPrinted>
  <dcterms:created xsi:type="dcterms:W3CDTF">2024-04-15T17:00:25Z</dcterms:created>
  <dcterms:modified xsi:type="dcterms:W3CDTF">2024-08-07T13:11:38Z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0x0101006B7F65B25344CC47849A91FD628B10BD</vt:lpwstr>
  </property>
</Properties>
</file>